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filterPrivacy="1"/>
  <xr:revisionPtr revIDLastSave="0" documentId="8_{D75599D2-3DC0-4020-9F64-C3F816C89129}" xr6:coauthVersionLast="47" xr6:coauthVersionMax="47" xr10:uidLastSave="{00000000-0000-0000-0000-000000000000}"/>
  <bookViews>
    <workbookView xWindow="-120" yWindow="-120" windowWidth="20730" windowHeight="11160" xr2:uid="{00000000-000D-0000-FFFF-FFFF00000000}"/>
  </bookViews>
  <sheets>
    <sheet name="Flujo de Caja" sheetId="2" r:id="rId1"/>
    <sheet name="Matrices" sheetId="3" r:id="rId2"/>
    <sheet name="CONCEP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2" l="1"/>
  <c r="C59" i="2"/>
  <c r="C100" i="2"/>
  <c r="C80" i="2"/>
  <c r="G18" i="3"/>
  <c r="G17" i="3"/>
  <c r="G16" i="3"/>
  <c r="G15" i="3"/>
  <c r="G14" i="3"/>
  <c r="G9" i="3"/>
  <c r="G8" i="3"/>
  <c r="G7" i="3"/>
  <c r="G6" i="3"/>
  <c r="G5" i="3"/>
  <c r="G4" i="3"/>
  <c r="D134" i="2" l="1"/>
  <c r="D133" i="2"/>
  <c r="D132" i="2"/>
  <c r="D131" i="2"/>
  <c r="D130" i="2"/>
  <c r="D129" i="2"/>
  <c r="D96" i="2" l="1"/>
  <c r="E96" i="2"/>
  <c r="F96" i="2"/>
  <c r="G96" i="2"/>
  <c r="H96" i="2"/>
  <c r="D86" i="2"/>
  <c r="E86" i="2"/>
  <c r="F86" i="2"/>
  <c r="G86" i="2"/>
  <c r="H86" i="2"/>
  <c r="I68" i="2"/>
  <c r="I69" i="2"/>
  <c r="I70" i="2"/>
  <c r="I71" i="2"/>
  <c r="I72" i="2"/>
  <c r="F42" i="2"/>
  <c r="G42" i="2"/>
  <c r="H112" i="2"/>
  <c r="G112" i="2"/>
  <c r="F112" i="2"/>
  <c r="E112" i="2"/>
  <c r="D112" i="2"/>
  <c r="C112" i="2"/>
  <c r="I111" i="2"/>
  <c r="I110" i="2"/>
  <c r="I109" i="2"/>
  <c r="I108" i="2"/>
  <c r="I107" i="2"/>
  <c r="I106" i="2"/>
  <c r="I105" i="2"/>
  <c r="I104" i="2"/>
  <c r="I103" i="2"/>
  <c r="I102" i="2"/>
  <c r="I101" i="2"/>
  <c r="I100" i="2"/>
  <c r="I99" i="2"/>
  <c r="C96" i="2"/>
  <c r="I95" i="2"/>
  <c r="I94" i="2"/>
  <c r="I93" i="2"/>
  <c r="I92" i="2"/>
  <c r="I91" i="2"/>
  <c r="I90" i="2"/>
  <c r="I89" i="2"/>
  <c r="C86" i="2"/>
  <c r="C114" i="2" s="1"/>
  <c r="I85" i="2"/>
  <c r="I84" i="2"/>
  <c r="I83" i="2"/>
  <c r="I82" i="2"/>
  <c r="I81" i="2"/>
  <c r="I80" i="2"/>
  <c r="H73" i="2"/>
  <c r="G73" i="2"/>
  <c r="F73" i="2"/>
  <c r="E73" i="2"/>
  <c r="D73" i="2"/>
  <c r="C73" i="2"/>
  <c r="H65" i="2"/>
  <c r="G65" i="2"/>
  <c r="F65" i="2"/>
  <c r="E65" i="2"/>
  <c r="D65" i="2"/>
  <c r="C65" i="2"/>
  <c r="I64" i="2"/>
  <c r="I63" i="2"/>
  <c r="I62" i="2"/>
  <c r="I61" i="2"/>
  <c r="I60" i="2"/>
  <c r="I59" i="2"/>
  <c r="H54" i="2"/>
  <c r="G54" i="2"/>
  <c r="F54" i="2"/>
  <c r="E54" i="2"/>
  <c r="D54" i="2"/>
  <c r="C54" i="2"/>
  <c r="I53" i="2"/>
  <c r="I52" i="2"/>
  <c r="I51" i="2"/>
  <c r="I50" i="2"/>
  <c r="I49" i="2"/>
  <c r="I48" i="2"/>
  <c r="I47" i="2"/>
  <c r="I46" i="2"/>
  <c r="I45" i="2"/>
  <c r="H42" i="2"/>
  <c r="E42" i="2"/>
  <c r="D42" i="2"/>
  <c r="C42" i="2"/>
  <c r="I41" i="2"/>
  <c r="I40" i="2"/>
  <c r="I39" i="2"/>
  <c r="H36" i="2"/>
  <c r="G36" i="2"/>
  <c r="F36" i="2"/>
  <c r="E36" i="2"/>
  <c r="E56" i="2" s="1"/>
  <c r="E75" i="2" s="1"/>
  <c r="D36" i="2"/>
  <c r="C36" i="2"/>
  <c r="C56" i="2" s="1"/>
  <c r="C75" i="2" s="1"/>
  <c r="C116" i="2" s="1"/>
  <c r="C119" i="2" s="1"/>
  <c r="I35" i="2"/>
  <c r="I34" i="2"/>
  <c r="I33" i="2"/>
  <c r="I32" i="2"/>
  <c r="I31" i="2"/>
  <c r="I30" i="2"/>
  <c r="I29" i="2"/>
  <c r="I28" i="2"/>
  <c r="H21" i="2"/>
  <c r="G21" i="2"/>
  <c r="F21" i="2"/>
  <c r="E21" i="2"/>
  <c r="D21" i="2"/>
  <c r="C21" i="2"/>
  <c r="I20" i="2"/>
  <c r="I19" i="2"/>
  <c r="I18" i="2"/>
  <c r="I17" i="2"/>
  <c r="H14" i="2"/>
  <c r="H23" i="2" s="1"/>
  <c r="H118" i="2" s="1"/>
  <c r="G14" i="2"/>
  <c r="F14" i="2"/>
  <c r="F23" i="2" s="1"/>
  <c r="F118" i="2" s="1"/>
  <c r="E14" i="2"/>
  <c r="D14" i="2"/>
  <c r="D23" i="2" s="1"/>
  <c r="D118" i="2" s="1"/>
  <c r="C14" i="2"/>
  <c r="I13" i="2"/>
  <c r="I12" i="2"/>
  <c r="I11" i="2"/>
  <c r="I10" i="2"/>
  <c r="I9" i="2"/>
  <c r="I8" i="2"/>
  <c r="G23" i="2" l="1"/>
  <c r="G118" i="2" s="1"/>
  <c r="F114" i="2"/>
  <c r="I42" i="2"/>
  <c r="G56" i="2"/>
  <c r="G75" i="2" s="1"/>
  <c r="C23" i="2"/>
  <c r="C118" i="2" s="1"/>
  <c r="F56" i="2"/>
  <c r="E114" i="2"/>
  <c r="E116" i="2" s="1"/>
  <c r="E119" i="2" s="1"/>
  <c r="H114" i="2"/>
  <c r="D114" i="2"/>
  <c r="I65" i="2"/>
  <c r="G114" i="2"/>
  <c r="I112" i="2"/>
  <c r="I96" i="2"/>
  <c r="I86" i="2"/>
  <c r="I73" i="2"/>
  <c r="F75" i="2"/>
  <c r="F116" i="2" s="1"/>
  <c r="F119" i="2" s="1"/>
  <c r="F120" i="2" s="1"/>
  <c r="D56" i="2"/>
  <c r="D75" i="2" s="1"/>
  <c r="H56" i="2"/>
  <c r="H75" i="2" s="1"/>
  <c r="I54" i="2"/>
  <c r="I75" i="2" s="1"/>
  <c r="I36" i="2"/>
  <c r="I56" i="2" s="1"/>
  <c r="E23" i="2"/>
  <c r="E118" i="2" s="1"/>
  <c r="E120" i="2" s="1"/>
  <c r="I21" i="2"/>
  <c r="I14" i="2"/>
  <c r="I23" i="2" s="1"/>
  <c r="G116" i="2" l="1"/>
  <c r="G119" i="2" s="1"/>
  <c r="G120" i="2" s="1"/>
  <c r="C120" i="2"/>
  <c r="C121" i="2"/>
  <c r="C125" i="2" s="1"/>
  <c r="H116" i="2"/>
  <c r="H119" i="2" s="1"/>
  <c r="H120" i="2" s="1"/>
  <c r="I114" i="2"/>
  <c r="D116" i="2"/>
  <c r="D119" i="2" s="1"/>
  <c r="D120" i="2" s="1"/>
  <c r="D121" i="2" l="1"/>
  <c r="I116" i="2"/>
  <c r="D125" i="2" l="1"/>
  <c r="E121" i="2"/>
  <c r="E125" i="2" l="1"/>
  <c r="F121" i="2"/>
  <c r="F125" i="2" l="1"/>
  <c r="G121" i="2"/>
  <c r="H121" i="2" l="1"/>
  <c r="H125" i="2" s="1"/>
  <c r="G125" i="2"/>
  <c r="H129" i="2" s="1"/>
  <c r="H130" i="2" s="1"/>
  <c r="H131" i="2" l="1"/>
  <c r="H132" i="2"/>
</calcChain>
</file>

<file path=xl/sharedStrings.xml><?xml version="1.0" encoding="utf-8"?>
<sst xmlns="http://schemas.openxmlformats.org/spreadsheetml/2006/main" count="170" uniqueCount="161">
  <si>
    <t>Flujo de caja</t>
  </si>
  <si>
    <t>PERÍODOS (AÑOS)</t>
  </si>
  <si>
    <t>Total</t>
  </si>
  <si>
    <t>INGRESOS</t>
  </si>
  <si>
    <t>Ingresos de Capital</t>
  </si>
  <si>
    <t>Capital Accionario (Inversión inicial de los socios)</t>
  </si>
  <si>
    <t>Recursos de crédito (requerido para inversión posterior)</t>
  </si>
  <si>
    <t>Recursos Fondo Emprender (si aplica)</t>
  </si>
  <si>
    <t>Donaciones</t>
  </si>
  <si>
    <t>Recursos de Cofinanciación (entidades gubernamentales SGR y SGP)  y ONGs</t>
  </si>
  <si>
    <t>Otros (Describa ….. )</t>
  </si>
  <si>
    <t>Subtotal Ingresos de Capital</t>
  </si>
  <si>
    <t>Ingresos de Operación</t>
  </si>
  <si>
    <t>Ventas en efectivo de Bienes o Servicios</t>
  </si>
  <si>
    <t>Cobros de ventas a crédito</t>
  </si>
  <si>
    <t>Cobros por ventas de activo fijo</t>
  </si>
  <si>
    <t>Ingresos complementarios</t>
  </si>
  <si>
    <t>Subtotal Ingresos de Operación</t>
  </si>
  <si>
    <t>TOTAL INGRESOS (de Capital +Operación)</t>
  </si>
  <si>
    <t>COSTOS</t>
  </si>
  <si>
    <t>Costos de Inversión Inicial</t>
  </si>
  <si>
    <t>Estudio de Factibilidad y diseño definitivo</t>
  </si>
  <si>
    <t>Adquisición y adecuación de terrenos</t>
  </si>
  <si>
    <t xml:space="preserve">Adquisición y montaje de Maquinaria y Equipos </t>
  </si>
  <si>
    <t>Impuesto de importación de maquinaria</t>
  </si>
  <si>
    <t>Construcción de Infraestructura</t>
  </si>
  <si>
    <t>Tecnologias</t>
  </si>
  <si>
    <t>Muebles y Enseres</t>
  </si>
  <si>
    <t>Materiales</t>
  </si>
  <si>
    <t>Subtotal Costos de Inversión Inicial</t>
  </si>
  <si>
    <t>Costos de Inversión Diferida</t>
  </si>
  <si>
    <t>Reposición de Maquinaria y Equipo</t>
  </si>
  <si>
    <t>Ampliación y Remodelación de Instalaciones</t>
  </si>
  <si>
    <t>Cambio de tecnología</t>
  </si>
  <si>
    <t>Subtotal Costos de Inversión Diferida</t>
  </si>
  <si>
    <t>Costos de Operación y/o Producción</t>
  </si>
  <si>
    <t>Materia prima</t>
  </si>
  <si>
    <t>Transporte Materia Prima</t>
  </si>
  <si>
    <t>Almacenamiento de Materia Prima</t>
  </si>
  <si>
    <t>Mano de obra directa de la operación</t>
  </si>
  <si>
    <t>Horas Extras - Mano de Obra Directa de operación</t>
  </si>
  <si>
    <t>Mantenimiento de Maquinaria y equipos especializados</t>
  </si>
  <si>
    <t>Dotación de elementos de Protección Personal</t>
  </si>
  <si>
    <t>Embalaje de Productos Terminados</t>
  </si>
  <si>
    <t>Almacenamiento de Productos Terminados</t>
  </si>
  <si>
    <t>Subtotal Costos de Operación y/o Producción</t>
  </si>
  <si>
    <t>Total Costos de Inversión (Inicial + Diferida + Operación)</t>
  </si>
  <si>
    <t>Costos de Ventas (Comercialización)</t>
  </si>
  <si>
    <t>Marketing</t>
  </si>
  <si>
    <t>Fuerza de venta</t>
  </si>
  <si>
    <t>Arrendamiento de Locales</t>
  </si>
  <si>
    <t>Transporte de mercancías a centros de comercialización</t>
  </si>
  <si>
    <t>Fletes y Seguros</t>
  </si>
  <si>
    <t>Otros gastos de comercialización</t>
  </si>
  <si>
    <t>Subtotal Costos de Comercialización</t>
  </si>
  <si>
    <t>Costos o Gastos Financieros</t>
  </si>
  <si>
    <t>Amortización de Capital</t>
  </si>
  <si>
    <t>Pago de intereses créditos</t>
  </si>
  <si>
    <t>Seguros de créditos</t>
  </si>
  <si>
    <t>Comisiones y Cuotas de Manejo</t>
  </si>
  <si>
    <t>Diferencia cambiaria (transacciones en moneda extranjera)</t>
  </si>
  <si>
    <t>Subtotal Costos o Gastos Financieros</t>
  </si>
  <si>
    <t>TOTAL COSTOS (Inversión+ Comercialización + Financieros)</t>
  </si>
  <si>
    <t>GASTOS</t>
  </si>
  <si>
    <t>Gastos de Administración (Gastos Personal)</t>
  </si>
  <si>
    <t>Sueldos</t>
  </si>
  <si>
    <t>Bonificaciones</t>
  </si>
  <si>
    <t>Primas</t>
  </si>
  <si>
    <t>Vacaciones</t>
  </si>
  <si>
    <t>Subsidio de Transporte (Si Aplica)</t>
  </si>
  <si>
    <t>Intereses a las Cesantías</t>
  </si>
  <si>
    <t>Subtotal Castos de Administración (Personal)</t>
  </si>
  <si>
    <t>Gastos de Transferencia (Prestaciones sociales)</t>
  </si>
  <si>
    <t>Sena (2%)</t>
  </si>
  <si>
    <t>ICBF (3%)</t>
  </si>
  <si>
    <t>Salud (12,5%)</t>
  </si>
  <si>
    <t>Pensión (16%)</t>
  </si>
  <si>
    <t>Cesantías (8,33%)</t>
  </si>
  <si>
    <t>Cajas de Compensación (4%)</t>
  </si>
  <si>
    <t>ARL - Administradora de Riesgos Laborales (0,52%)</t>
  </si>
  <si>
    <t>Subtotal Gastos de Transferencia</t>
  </si>
  <si>
    <t>Gastos de Administración (Gastos Generales)</t>
  </si>
  <si>
    <t>Vigilancia (Seguridad)</t>
  </si>
  <si>
    <t>Servicios Públicos</t>
  </si>
  <si>
    <t>Utensilios de oficina y papelería</t>
  </si>
  <si>
    <t>Cafetería</t>
  </si>
  <si>
    <t>Aseo y Mantenimiento General</t>
  </si>
  <si>
    <t>Seguros</t>
  </si>
  <si>
    <t>Internet</t>
  </si>
  <si>
    <t>Impuestos</t>
  </si>
  <si>
    <t>Honorarios</t>
  </si>
  <si>
    <t>Programas de Bienestar Laboral</t>
  </si>
  <si>
    <t>Asesoría Judicial</t>
  </si>
  <si>
    <t>Pasajes y Viáticos</t>
  </si>
  <si>
    <t xml:space="preserve"> Bienestar Social</t>
  </si>
  <si>
    <t>Subtotal Gastos de Administración (Gastos Generales)</t>
  </si>
  <si>
    <t>TOTAL GASTOS (Personal + Transferencia + Generales)</t>
  </si>
  <si>
    <t>TOTAL EGRESOS (COSTOS Y GASTOS)</t>
  </si>
  <si>
    <t>TOTAL INGRESOS</t>
  </si>
  <si>
    <t>TOTAL EGRESOS</t>
  </si>
  <si>
    <t>SALDO INICIAL DE CAJA (Ingresos - Egresos)</t>
  </si>
  <si>
    <t>SALDOS NETOS EN CAJA</t>
  </si>
  <si>
    <t>Parámetros de Proyección (Incremento)</t>
  </si>
  <si>
    <t>% de Incremento</t>
  </si>
  <si>
    <t>T.o</t>
  </si>
  <si>
    <t>Ventas</t>
  </si>
  <si>
    <t>VP</t>
  </si>
  <si>
    <t>Costos de Operación</t>
  </si>
  <si>
    <t>VPN</t>
  </si>
  <si>
    <t>Gastos de Personal</t>
  </si>
  <si>
    <t>TIR</t>
  </si>
  <si>
    <t>Transferencias</t>
  </si>
  <si>
    <t>B/C</t>
  </si>
  <si>
    <t>Gastos Generales</t>
  </si>
  <si>
    <t>Gastos de Ventas (Comercialización)</t>
  </si>
  <si>
    <t>VPN &gt; 0: La inversión produciría ganancias por encima de la rentabilidad exigida</t>
  </si>
  <si>
    <t>VPN &lt; 0: La inversión produciría pérdidas por debajo de la rentabilidad exigida</t>
  </si>
  <si>
    <t>VPN = 0: La inversión no produciría ni perdidas ni ganancias</t>
  </si>
  <si>
    <t>TIR &gt; VPN: Se aceptan los proyectos cuya tasa de retorno sea mayor al costo o tasa de oportunidad del capital a invertir</t>
  </si>
  <si>
    <t xml:space="preserve">B/C &gt; 1, se recomienda el proyecto </t>
  </si>
  <si>
    <t xml:space="preserve">B/C = 1, es indiferente el proyecto </t>
  </si>
  <si>
    <t>B/C &lt; 1, se rechaza el proyecto</t>
  </si>
  <si>
    <t>De acuerdo con los resultados obtenidos en sus indicadores, a continuación presente los argumentos o análisis sobre la viabilidad financiera del proyecto.</t>
  </si>
  <si>
    <t>Análisis del Proyecto</t>
  </si>
  <si>
    <t>Con base en el flujo de caja proyectado para el escenario de bajos costos de FinLabs y utilizando una tasa de oportunidad del 15 % (T.o = 0,15), se obtuvieron los siguientes resultados de evaluación financiera:
Valor Presente (VP): $ 874.446.997,49
Valor Presente Neto (VPN): $ 839.446.997,49
Tasa Interna de Retorno (TIR): 360 %
Relación Beneficio/Costo (B/C): 25,0
Estos indicadores reflejan el comportamiento del proyecto a lo largo del horizonte de cinco años y permiten valorar su conveniencia frente a la tasa mínima de rendimiento exigida.
En primer lugar, el Valor Presente (VP) de los ingresos del proyecto asciende a $ 874.446.997,49. Esta cifra representa el valor actual de todos los beneficios futuros que genera FinLabs durante el período de evaluación, descontados a la tasa del 15 %. Un VP de esta magnitud, frente a un esquema de inversión inicial relativamente bajo, evidencia que el proyecto tiene una alta capacidad de generación de beneficios en términos actualizados.
El Valor Presente Neto (VPN), que resulta de restar al VP de los beneficios el VP de los costos y la inversión inicial, es de $ 839.446.997,49. Al ser un valor fuertemente positivo, puede afirmarse que, después de recuperar la totalidad de la inversión y de cubrir todos los egresos actualizados a la tasa de oportunidad, el proyecto deja un excedente muy significativo. En otras palabras, FinLabs no solo recupera los recursos invertidos, sino que genera un valor adicional elevado para los socios, por encima de la rentabilidad mínima del 15 % exigida como referencia. Desde el punto de vista clásico de evaluación de proyectos, un VPN de este orden califica al proyecto como financieramente muy atractivo.
En cuanto a la Tasa Interna de Retorno (TIR), el valor obtenido es de 360 %. Este resultado indica que, en promedio, la rentabilidad interna del proyecto sobre los flujos de caja generados es muy superior a la tasa de oportunidad del 15 %. Al comparar la TIR (360 %) con la T.o (15 %), se observa una diferencia muy amplia, lo que, en términos estrictamente financieros, respalda de forma contundente la conveniencia del proyecto. Este valor tan alto también es coherente con el hecho de que la inversión inicial es pequeña (modelo tipo startup de bajos costos) y los flujos futuros proyectados son relativamente grandes; por ello, aunque desde el punto de vista académico la TIR confirma la viabilidad, en la práctica invita a revisar periódicamente los supuestos de crecimiento y de control de gastos para asegurarse de que no sean excesivamente optimistas.
La Relación Beneficio/Costo (B/C) es de 25,0. Esto significa que, por cada peso invertido en términos de valor presente, el proyecto genera 25 pesos de beneficios también en valor presente. Una relación B/C tan superior a 1 indica un margen de holgura muy amplio entre los beneficios y los costos, y refuerza la conclusión de que el proyecto es financieramente conveniente. De nuevo, este resultado está alineado con la lógica de una estructura de costos muy contenida en los primeros años y un crecimiento importante de los ingresos a medida que la plataforma se consolida y se amplía la base de usuarios.
En conjunto, los indicadores VPN positivo y muy alto, TIR muy por encima de la tasa de oportunidad y B/C significativamente mayor que uno, permiten concluir que el proyecto FinLabs, bajo el escenario de bajos costos y expansión gradual planteado, es financieramente viable y altamente rentable. Desde una perspectiva de gestión, esto respalda la decisión de avanzar con el modelo propuesto, manteniendo la disciplina en el control de gastos, la reinversión de utilidades y el seguimiento permanente de los riesgos de mercado, tecnológicos y regulatorios, para que los resultados reales se acerquen a las proyecciones establecidas en este estudio económico y financiero.</t>
  </si>
  <si>
    <t xml:space="preserve">Matríz de Requerimientos de Equipos y Maquinaria </t>
  </si>
  <si>
    <t>ITEM</t>
  </si>
  <si>
    <t>UNIDAD DE MEDIDA*</t>
  </si>
  <si>
    <t>CANTIDAD</t>
  </si>
  <si>
    <t>TIPO Y REFERENCIA</t>
  </si>
  <si>
    <t>OBSERVACIONES</t>
  </si>
  <si>
    <t>VALOR UNITARIO</t>
  </si>
  <si>
    <t>VALOR TOTAL</t>
  </si>
  <si>
    <t>MAQUINARIA</t>
  </si>
  <si>
    <t>EQUIPOS</t>
  </si>
  <si>
    <t>MUEBLES Y ENSERES</t>
  </si>
  <si>
    <t>OTRAS TECNOLOGÍAS</t>
  </si>
  <si>
    <t>MATERIALES</t>
  </si>
  <si>
    <t>MATERIAS PRIMAS</t>
  </si>
  <si>
    <t>Matríz de Requerimientos de Personal</t>
  </si>
  <si>
    <t>UNIDAD DE MEDIDA**</t>
  </si>
  <si>
    <t>PROFESIÓN</t>
  </si>
  <si>
    <t>PERFIL Y COMPETENCIAS</t>
  </si>
  <si>
    <t>NIVEL DIRECTIVO</t>
  </si>
  <si>
    <t>H / M</t>
  </si>
  <si>
    <t>NIVEL PROFESIONAL</t>
  </si>
  <si>
    <t>NIVEL TÉCNICO</t>
  </si>
  <si>
    <t>NIVEL OPERATIVO</t>
  </si>
  <si>
    <t>NIVEL AUXILIAR</t>
  </si>
  <si>
    <t>Tasa de oportunidad</t>
  </si>
  <si>
    <t>Valor Presente o Valor Actual</t>
  </si>
  <si>
    <t>Valor Actual Neto (VAN)</t>
  </si>
  <si>
    <t>Es la tasa que se utiliza para determinar el valor actual neto de los flujos futuros de caja del proyecto y, es la rentabilidad mínima que se le debe exigir al proyecto para renunciar a otra inversión alternativa</t>
  </si>
  <si>
    <t>Sirve para determinar el valor del dinero en el tiempo y consiste en descontar el flujo futuro de una inversión a una tasa de rentabilidad, denominada tasa de oportunidad, para determinar si es conveniente o no invertir. También es una manera de valorar los activos de un proyecto.</t>
  </si>
  <si>
    <t>El Valor Presente Neto (VPN) es el excedente que le queda al inversionista después de haber recuperado la inversión y la tasa de oportunidad de los recursos destinados. Es la suma del valor actual de los flujos de efectivo individuales.          VPN &gt; 0, conviene hacer la inversión
• VPN = 0, es indiferente realizar la inversión
• VPN &lt; 0, no conviene hacer la inversión</t>
  </si>
  <si>
    <t>Tasa Interna de Retorno (TIR)</t>
  </si>
  <si>
    <t>Relación Beneficio-Costo (B/C)</t>
  </si>
  <si>
    <t>La TIR representa la rentabilidad media intrínseca del proyecto que se está evaluando. Son las tasas de descuento constantes que hacen que el VPN o VAN del proyecto sea igual a cero.                                                         El criterio de decisión es: TIR &gt; r: se aceptan los proyectos cuya tasa de retorno sea mayor que el costo o tasa de oportunidad del capital a invertir</t>
  </si>
  <si>
    <r>
      <t xml:space="preserve">La relación beneficio/costo toma los ingresos y egresos presentes netos, para determinar cuáles son los beneficios por cada peso invertido en el proyecto. Este indicador sirve también para medir el grado de desarrollo y bienestar que un proyecto puede generar a una comunidad. </t>
    </r>
    <r>
      <rPr>
        <b/>
        <i/>
        <sz val="12"/>
        <color theme="1"/>
        <rFont val="Calibri"/>
        <family val="2"/>
        <scheme val="minor"/>
      </rPr>
      <t xml:space="preserve">Criterios de decisión: </t>
    </r>
    <r>
      <rPr>
        <sz val="12"/>
        <color theme="1"/>
        <rFont val="Calibri"/>
        <family val="2"/>
        <scheme val="minor"/>
      </rPr>
      <t xml:space="preserve">                                                           B/C &gt; 1, se recomienda el proyecto                                                                                          B/C = 1, es indiferente el proyecto                                                                                            B/C &lt; 1, se rechaza el proyecto Relación Beneficio-Costo (B/C) La formula para el cálculo del B/C es: B/C = VP/CI Donde: VP = Valor Presente de los flujos del proyecto CI= Costo de la Inversión (Valor Presente de la Inversión)</t>
    </r>
  </si>
  <si>
    <t>Análisis de Sensibilidad</t>
  </si>
  <si>
    <t>Consiste en calcular nuevos flujos de caja y el VAN de un proyecto, al cambiar algunas variables como monto de inversión inicial, la duración, ingresos, tasa de crecimiento de los ingresos, los costos, entre otras. Este análisis permite mejorar las estimaciones del proyecto y corregir errores de apreciación sobre algunos factores, así como, establecer diferentes escenarios para la toma de decisiones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</si>
</sst>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 #,##0.00;[Red]\-&quot;$&quot;\ #,##0.00"/>
    <numFmt numFmtId="165" formatCode="_-&quot;$&quot;\ * #,##0.00_-;\-&quot;$&quot;\ * #,##0.00_-;_-&quot;$&quot;\ * &quot;-&quot;??_-;_-@_-"/>
    <numFmt numFmtId="166" formatCode="_-[$$-240A]\ * #,##0.00_-;\-[$$-240A]\ * #,##0.00_-;_-[$$-240A]\ * &quot;-&quot;??_-;_-@_-"/>
    <numFmt numFmtId="167" formatCode="_-[$$-240A]\ * #,##0.0_-;\-[$$-240A]\ * #,##0.0_-;_-[$$-240A]\ * &quot;-&quot;??_-;_-@_-"/>
    <numFmt numFmtId="168" formatCode="0.0"/>
    <numFmt numFmtId="169" formatCode="_-[$$-240A]\ * #,##0.0_-;\-[$$-240A]\ * #,##0.0_-;_-[$$-240A]\ * &quot;-&quot;?_-;_-@_-"/>
    <numFmt numFmtId="170" formatCode="_-[$$-240A]\ * #,##0_-;\-[$$-240A]\ * #,##0_-;_-[$$-240A]\ * &quot;-&quot;_-;_-@_-"/>
  </numFmts>
  <fonts count="19">
    <font>
      <sz val="11"/>
      <color theme="1"/>
      <name val="Calibri"/>
      <family val="2"/>
      <scheme val="minor"/>
    </font>
    <font>
      <sz val="28"/>
      <color theme="8" tint="-0.249977111117893"/>
      <name val="Franklin Gothic Demi Cond"/>
      <family val="2"/>
    </font>
    <font>
      <b/>
      <sz val="11"/>
      <color theme="1"/>
      <name val="Franklin Gothic Medium"/>
      <family val="2"/>
    </font>
    <font>
      <sz val="16"/>
      <color theme="1"/>
      <name val="Franklin Gothic Medium"/>
      <family val="2"/>
    </font>
    <font>
      <sz val="11"/>
      <color theme="1"/>
      <name val="Franklin Gothic Medium"/>
      <family val="2"/>
    </font>
    <font>
      <sz val="10"/>
      <color theme="0" tint="-0.499984740745262"/>
      <name val="Franklin Gothic Medium"/>
      <family val="2"/>
    </font>
    <font>
      <sz val="10"/>
      <color theme="1" tint="0.499984740745262"/>
      <name val="Franklin Gothic Medium"/>
      <family val="2"/>
    </font>
    <font>
      <sz val="11"/>
      <color theme="1"/>
      <name val="Calibri"/>
      <family val="2"/>
      <scheme val="minor"/>
    </font>
    <font>
      <sz val="10"/>
      <color theme="1"/>
      <name val="Franklin Gothic Medium"/>
      <family val="2"/>
    </font>
    <font>
      <b/>
      <sz val="11"/>
      <color theme="1"/>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b/>
      <sz val="12"/>
      <color theme="1"/>
      <name val="Calibri"/>
      <family val="2"/>
      <scheme val="minor"/>
    </font>
    <font>
      <sz val="12"/>
      <color theme="1"/>
      <name val="Calibri"/>
      <family val="2"/>
      <scheme val="minor"/>
    </font>
    <font>
      <b/>
      <i/>
      <sz val="12"/>
      <color theme="1"/>
      <name val="Calibri"/>
      <family val="2"/>
      <scheme val="minor"/>
    </font>
    <font>
      <sz val="14"/>
      <color theme="1"/>
      <name val="Calibri"/>
      <family val="2"/>
      <scheme val="minor"/>
    </font>
    <font>
      <sz val="11"/>
      <color rgb="FF000000"/>
      <name val="Calibri"/>
      <family val="2"/>
    </font>
    <font>
      <sz val="11"/>
      <color rgb="FF000000"/>
      <name val="WordVisi_MSFontService"/>
      <charset val="1"/>
    </font>
  </fonts>
  <fills count="13">
    <fill>
      <patternFill patternType="none"/>
    </fill>
    <fill>
      <patternFill patternType="gray125"/>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5B9BD5"/>
        <bgColor indexed="64"/>
      </patternFill>
    </fill>
    <fill>
      <patternFill patternType="solid">
        <fgColor rgb="FFDEEAF6"/>
        <bgColor indexed="64"/>
      </patternFill>
    </fill>
    <fill>
      <patternFill patternType="solid">
        <fgColor rgb="FF70AD47"/>
        <bgColor indexed="64"/>
      </patternFill>
    </fill>
    <fill>
      <patternFill patternType="solid">
        <fgColor rgb="FFE2EFD9"/>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59999389629810485"/>
        <bgColor indexed="64"/>
      </patternFill>
    </fill>
  </fills>
  <borders count="34">
    <border>
      <left/>
      <right/>
      <top/>
      <bottom/>
      <diagonal/>
    </border>
    <border>
      <left/>
      <right/>
      <top/>
      <bottom style="double">
        <color theme="1" tint="0.24994659260841701"/>
      </bottom>
      <diagonal/>
    </border>
    <border>
      <left style="dotted">
        <color theme="1" tint="0.24994659260841701"/>
      </left>
      <right style="dotted">
        <color theme="1" tint="0.24994659260841701"/>
      </right>
      <top/>
      <bottom style="thick">
        <color theme="8"/>
      </bottom>
      <diagonal/>
    </border>
    <border>
      <left/>
      <right/>
      <top/>
      <bottom style="medium">
        <color theme="8"/>
      </bottom>
      <diagonal/>
    </border>
    <border>
      <left/>
      <right/>
      <top style="double">
        <color theme="1" tint="0.2499465926084170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5B9BD5"/>
      </left>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style="medium">
        <color rgb="FF70AD47"/>
      </left>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A8D08D"/>
      </left>
      <right style="medium">
        <color rgb="FFA8D08D"/>
      </right>
      <top/>
      <bottom style="medium">
        <color rgb="FFA8D08D"/>
      </bottom>
      <diagonal/>
    </border>
    <border>
      <left/>
      <right style="medium">
        <color rgb="FFA8D08D"/>
      </right>
      <top/>
      <bottom style="medium">
        <color rgb="FFA8D08D"/>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7" fillId="0" borderId="0" applyFont="0" applyFill="0" applyBorder="0" applyAlignment="0" applyProtection="0"/>
    <xf numFmtId="165" fontId="7" fillId="0" borderId="0" applyFont="0" applyFill="0" applyBorder="0" applyAlignment="0" applyProtection="0"/>
  </cellStyleXfs>
  <cellXfs count="132">
    <xf numFmtId="0" fontId="0" fillId="0" borderId="0" xfId="0"/>
    <xf numFmtId="0" fontId="2" fillId="0" borderId="0" xfId="0" applyFont="1"/>
    <xf numFmtId="0" fontId="3" fillId="0" borderId="2" xfId="0" applyFont="1" applyBorder="1" applyAlignment="1">
      <alignment horizontal="center"/>
    </xf>
    <xf numFmtId="0" fontId="4" fillId="2" borderId="3" xfId="0" applyFont="1" applyFill="1" applyBorder="1"/>
    <xf numFmtId="0" fontId="5" fillId="0" borderId="0" xfId="0" applyFont="1" applyAlignment="1">
      <alignment horizontal="left" indent="1"/>
    </xf>
    <xf numFmtId="0" fontId="6" fillId="0" borderId="0" xfId="0" applyFont="1" applyAlignment="1">
      <alignment horizontal="left" indent="1"/>
    </xf>
    <xf numFmtId="0" fontId="1" fillId="0" borderId="1" xfId="0" applyFont="1" applyBorder="1"/>
    <xf numFmtId="0" fontId="0" fillId="0" borderId="0" xfId="0" applyAlignment="1">
      <alignment horizontal="center"/>
    </xf>
    <xf numFmtId="0" fontId="4" fillId="3" borderId="0" xfId="0" applyFont="1" applyFill="1"/>
    <xf numFmtId="0" fontId="0" fillId="3" borderId="0" xfId="0" applyFill="1"/>
    <xf numFmtId="0" fontId="4" fillId="2" borderId="3" xfId="0" applyFont="1" applyFill="1" applyBorder="1" applyAlignment="1">
      <alignment wrapText="1"/>
    </xf>
    <xf numFmtId="0" fontId="4" fillId="4" borderId="5" xfId="0" applyFont="1" applyFill="1" applyBorder="1"/>
    <xf numFmtId="166" fontId="0" fillId="4" borderId="6" xfId="0" applyNumberFormat="1" applyFill="1" applyBorder="1"/>
    <xf numFmtId="166" fontId="0" fillId="4" borderId="7" xfId="0" applyNumberFormat="1" applyFill="1" applyBorder="1"/>
    <xf numFmtId="0" fontId="5" fillId="0" borderId="8" xfId="0" applyFont="1" applyBorder="1"/>
    <xf numFmtId="0" fontId="5" fillId="4" borderId="8" xfId="0" applyFont="1" applyFill="1" applyBorder="1"/>
    <xf numFmtId="0" fontId="5" fillId="5" borderId="8" xfId="0" applyFont="1" applyFill="1" applyBorder="1"/>
    <xf numFmtId="0" fontId="5" fillId="0" borderId="0" xfId="0" applyFont="1" applyAlignment="1">
      <alignment horizontal="center"/>
    </xf>
    <xf numFmtId="10" fontId="5" fillId="0" borderId="0" xfId="1" applyNumberFormat="1" applyFont="1" applyAlignment="1">
      <alignment horizontal="center"/>
    </xf>
    <xf numFmtId="0" fontId="4" fillId="4" borderId="8" xfId="0" applyFont="1" applyFill="1" applyBorder="1" applyAlignment="1">
      <alignment horizontal="center" vertical="center"/>
    </xf>
    <xf numFmtId="0" fontId="5" fillId="0" borderId="8" xfId="0" applyFont="1" applyBorder="1" applyAlignment="1">
      <alignment horizontal="left" indent="1"/>
    </xf>
    <xf numFmtId="10" fontId="5" fillId="0" borderId="8" xfId="1" applyNumberFormat="1" applyFont="1" applyBorder="1" applyAlignment="1">
      <alignment horizontal="center"/>
    </xf>
    <xf numFmtId="0" fontId="5" fillId="0" borderId="8" xfId="0" applyFont="1" applyBorder="1" applyAlignment="1">
      <alignment horizontal="center"/>
    </xf>
    <xf numFmtId="164" fontId="0" fillId="0" borderId="8" xfId="0" applyNumberFormat="1" applyBorder="1" applyAlignment="1">
      <alignment horizontal="center"/>
    </xf>
    <xf numFmtId="9" fontId="0" fillId="0" borderId="8" xfId="0" applyNumberFormat="1" applyBorder="1" applyAlignment="1">
      <alignment horizontal="center"/>
    </xf>
    <xf numFmtId="167" fontId="0" fillId="0" borderId="0" xfId="0" applyNumberFormat="1"/>
    <xf numFmtId="167" fontId="0" fillId="2" borderId="3" xfId="0" applyNumberFormat="1" applyFill="1" applyBorder="1"/>
    <xf numFmtId="167" fontId="0" fillId="4" borderId="6" xfId="0" applyNumberFormat="1" applyFill="1" applyBorder="1"/>
    <xf numFmtId="167" fontId="0" fillId="4" borderId="7" xfId="0" applyNumberFormat="1" applyFill="1" applyBorder="1"/>
    <xf numFmtId="167" fontId="0" fillId="3" borderId="0" xfId="0" applyNumberFormat="1" applyFill="1"/>
    <xf numFmtId="167" fontId="0" fillId="2" borderId="3" xfId="0" applyNumberFormat="1" applyFill="1" applyBorder="1" applyAlignment="1">
      <alignment vertical="center"/>
    </xf>
    <xf numFmtId="167" fontId="5" fillId="0" borderId="8" xfId="0" applyNumberFormat="1" applyFont="1" applyBorder="1"/>
    <xf numFmtId="167" fontId="5" fillId="4" borderId="8" xfId="0" applyNumberFormat="1" applyFont="1" applyFill="1" applyBorder="1"/>
    <xf numFmtId="167" fontId="5" fillId="5" borderId="8" xfId="0" applyNumberFormat="1" applyFont="1" applyFill="1" applyBorder="1"/>
    <xf numFmtId="168" fontId="0" fillId="0" borderId="8" xfId="0" applyNumberFormat="1" applyBorder="1" applyAlignment="1">
      <alignment horizontal="center"/>
    </xf>
    <xf numFmtId="0" fontId="0" fillId="0" borderId="0" xfId="0" applyAlignment="1">
      <alignment wrapText="1"/>
    </xf>
    <xf numFmtId="0" fontId="8" fillId="0" borderId="0" xfId="0" applyFont="1"/>
    <xf numFmtId="0" fontId="8" fillId="0" borderId="0" xfId="0" applyFont="1" applyAlignment="1">
      <alignment wrapText="1"/>
    </xf>
    <xf numFmtId="0" fontId="10" fillId="6"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1" fillId="7" borderId="12" xfId="0" applyFont="1" applyFill="1" applyBorder="1" applyAlignment="1">
      <alignment vertical="center" wrapText="1"/>
    </xf>
    <xf numFmtId="0" fontId="0" fillId="7" borderId="13" xfId="0" applyFill="1" applyBorder="1" applyAlignment="1">
      <alignment horizontal="center" vertical="center" wrapText="1"/>
    </xf>
    <xf numFmtId="0" fontId="0" fillId="7" borderId="13" xfId="0" applyFill="1" applyBorder="1" applyAlignment="1">
      <alignment vertical="center" wrapText="1"/>
    </xf>
    <xf numFmtId="0" fontId="9" fillId="0" borderId="12" xfId="0" applyFont="1" applyBorder="1" applyAlignment="1">
      <alignment vertical="center" wrapText="1"/>
    </xf>
    <xf numFmtId="0" fontId="0" fillId="0" borderId="13" xfId="0" applyBorder="1" applyAlignment="1">
      <alignment horizontal="center" vertical="center" wrapText="1"/>
    </xf>
    <xf numFmtId="0" fontId="0" fillId="0" borderId="13" xfId="0" applyBorder="1" applyAlignment="1">
      <alignment vertical="center" wrapText="1"/>
    </xf>
    <xf numFmtId="0" fontId="10" fillId="8" borderId="14" xfId="0" applyFont="1" applyFill="1" applyBorder="1" applyAlignment="1">
      <alignment horizontal="center" vertical="center" wrapText="1"/>
    </xf>
    <xf numFmtId="0" fontId="10" fillId="8" borderId="15"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11" fillId="9" borderId="17" xfId="0" applyFont="1" applyFill="1" applyBorder="1" applyAlignment="1">
      <alignment vertical="center" wrapText="1"/>
    </xf>
    <xf numFmtId="0" fontId="12" fillId="9" borderId="18" xfId="0" applyFont="1" applyFill="1" applyBorder="1" applyAlignment="1">
      <alignment horizontal="center" vertical="center" wrapText="1"/>
    </xf>
    <xf numFmtId="0" fontId="0" fillId="9" borderId="18" xfId="0" applyFill="1" applyBorder="1" applyAlignment="1">
      <alignment vertical="center" wrapText="1"/>
    </xf>
    <xf numFmtId="0" fontId="9" fillId="0" borderId="17" xfId="0" applyFont="1" applyBorder="1" applyAlignment="1">
      <alignment vertical="center" wrapText="1"/>
    </xf>
    <xf numFmtId="0" fontId="0" fillId="0" borderId="18" xfId="0" applyBorder="1" applyAlignment="1">
      <alignment horizontal="center" vertical="center" wrapText="1"/>
    </xf>
    <xf numFmtId="0" fontId="0" fillId="0" borderId="18" xfId="0" applyBorder="1" applyAlignment="1">
      <alignment vertical="center" wrapText="1"/>
    </xf>
    <xf numFmtId="165" fontId="0" fillId="7" borderId="13" xfId="2" applyFont="1" applyFill="1" applyBorder="1" applyAlignment="1">
      <alignment vertical="center" wrapText="1"/>
    </xf>
    <xf numFmtId="165" fontId="0" fillId="0" borderId="13" xfId="2" applyFont="1" applyBorder="1" applyAlignment="1">
      <alignment vertical="center" wrapText="1"/>
    </xf>
    <xf numFmtId="169" fontId="0" fillId="4" borderId="0" xfId="0" applyNumberFormat="1" applyFill="1"/>
    <xf numFmtId="169" fontId="0" fillId="2" borderId="3" xfId="0" applyNumberFormat="1" applyFill="1" applyBorder="1"/>
    <xf numFmtId="169" fontId="0" fillId="0" borderId="0" xfId="0" applyNumberFormat="1"/>
    <xf numFmtId="169" fontId="17" fillId="0" borderId="0" xfId="0" applyNumberFormat="1" applyFont="1" applyFill="1" applyBorder="1" applyAlignment="1"/>
    <xf numFmtId="166" fontId="17" fillId="0" borderId="0" xfId="0" applyNumberFormat="1" applyFont="1" applyFill="1" applyBorder="1" applyAlignment="1"/>
    <xf numFmtId="166" fontId="0" fillId="4" borderId="0" xfId="0" applyNumberFormat="1" applyFill="1"/>
    <xf numFmtId="166" fontId="0" fillId="2" borderId="3" xfId="0" applyNumberFormat="1" applyFill="1" applyBorder="1"/>
    <xf numFmtId="0" fontId="0" fillId="0" borderId="0" xfId="0" applyFill="1"/>
    <xf numFmtId="0" fontId="0" fillId="0" borderId="0" xfId="0" applyFill="1" applyAlignment="1"/>
    <xf numFmtId="0" fontId="0" fillId="0" borderId="4" xfId="0" applyBorder="1" applyAlignment="1">
      <alignment horizontal="center"/>
    </xf>
    <xf numFmtId="166" fontId="0" fillId="4" borderId="8" xfId="0" applyNumberFormat="1" applyFill="1" applyBorder="1" applyAlignment="1">
      <alignment horizontal="center" vertical="center" wrapText="1"/>
    </xf>
    <xf numFmtId="0" fontId="8" fillId="2" borderId="33" xfId="0" applyFont="1" applyFill="1" applyBorder="1" applyAlignment="1">
      <alignment horizontal="center"/>
    </xf>
    <xf numFmtId="0" fontId="8" fillId="4" borderId="33" xfId="0" applyFont="1" applyFill="1" applyBorder="1" applyAlignment="1">
      <alignment horizontal="center" wrapText="1"/>
    </xf>
    <xf numFmtId="0" fontId="16" fillId="10" borderId="25" xfId="0" applyFont="1" applyFill="1" applyBorder="1" applyAlignment="1">
      <alignment horizontal="center" vertical="center" wrapText="1"/>
    </xf>
    <xf numFmtId="0" fontId="16" fillId="10" borderId="26" xfId="0" applyFont="1" applyFill="1" applyBorder="1" applyAlignment="1">
      <alignment horizontal="center" vertical="center" wrapText="1"/>
    </xf>
    <xf numFmtId="0" fontId="16" fillId="10" borderId="27" xfId="0" applyFont="1" applyFill="1" applyBorder="1" applyAlignment="1">
      <alignment horizontal="center" vertical="center" wrapText="1"/>
    </xf>
    <xf numFmtId="0" fontId="16" fillId="10" borderId="28"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6" fillId="10" borderId="29" xfId="0" applyFont="1" applyFill="1" applyBorder="1" applyAlignment="1">
      <alignment horizontal="center" vertical="center" wrapText="1"/>
    </xf>
    <xf numFmtId="0" fontId="16" fillId="10" borderId="30" xfId="0" applyFont="1" applyFill="1" applyBorder="1" applyAlignment="1">
      <alignment horizontal="center" vertical="center" wrapText="1"/>
    </xf>
    <xf numFmtId="0" fontId="16" fillId="10" borderId="31" xfId="0" applyFont="1" applyFill="1" applyBorder="1" applyAlignment="1">
      <alignment horizontal="center" vertical="center" wrapText="1"/>
    </xf>
    <xf numFmtId="0" fontId="16" fillId="10" borderId="32" xfId="0" applyFont="1" applyFill="1" applyBorder="1" applyAlignment="1">
      <alignment horizontal="center" vertical="center" wrapText="1"/>
    </xf>
    <xf numFmtId="0" fontId="13" fillId="10" borderId="19" xfId="0" applyFont="1" applyFill="1" applyBorder="1" applyAlignment="1">
      <alignment horizontal="center"/>
    </xf>
    <xf numFmtId="0" fontId="13" fillId="10" borderId="20" xfId="0" applyFont="1" applyFill="1" applyBorder="1" applyAlignment="1">
      <alignment horizontal="center"/>
    </xf>
    <xf numFmtId="0" fontId="13" fillId="10" borderId="21" xfId="0" applyFont="1" applyFill="1" applyBorder="1" applyAlignment="1">
      <alignment horizontal="center"/>
    </xf>
    <xf numFmtId="0" fontId="13" fillId="11" borderId="19" xfId="0" applyFont="1" applyFill="1" applyBorder="1" applyAlignment="1">
      <alignment horizontal="center" wrapText="1"/>
    </xf>
    <xf numFmtId="0" fontId="13" fillId="11" borderId="20" xfId="0" applyFont="1" applyFill="1" applyBorder="1" applyAlignment="1">
      <alignment horizontal="center" wrapText="1"/>
    </xf>
    <xf numFmtId="0" fontId="13" fillId="11" borderId="21" xfId="0" applyFont="1" applyFill="1" applyBorder="1" applyAlignment="1">
      <alignment horizontal="center" wrapText="1"/>
    </xf>
    <xf numFmtId="0" fontId="9" fillId="12" borderId="22" xfId="0" applyFont="1" applyFill="1" applyBorder="1" applyAlignment="1">
      <alignment horizontal="center" wrapText="1"/>
    </xf>
    <xf numFmtId="0" fontId="9" fillId="12" borderId="23" xfId="0" applyFont="1" applyFill="1" applyBorder="1" applyAlignment="1">
      <alignment horizontal="center" wrapText="1"/>
    </xf>
    <xf numFmtId="0" fontId="9" fillId="12" borderId="24" xfId="0" applyFont="1" applyFill="1" applyBorder="1" applyAlignment="1">
      <alignment horizontal="center" wrapText="1"/>
    </xf>
    <xf numFmtId="0" fontId="14" fillId="10" borderId="25" xfId="0" applyFont="1" applyFill="1" applyBorder="1" applyAlignment="1">
      <alignment horizontal="center" vertical="center" wrapText="1"/>
    </xf>
    <xf numFmtId="0" fontId="14" fillId="10" borderId="26" xfId="0" applyFont="1" applyFill="1" applyBorder="1" applyAlignment="1">
      <alignment horizontal="center" vertical="center" wrapText="1"/>
    </xf>
    <xf numFmtId="0" fontId="14" fillId="10" borderId="27" xfId="0" applyFont="1" applyFill="1" applyBorder="1" applyAlignment="1">
      <alignment horizontal="center" vertical="center" wrapText="1"/>
    </xf>
    <xf numFmtId="0" fontId="14" fillId="10" borderId="28"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9" xfId="0" applyFont="1" applyFill="1" applyBorder="1" applyAlignment="1">
      <alignment horizontal="center" vertical="center" wrapText="1"/>
    </xf>
    <xf numFmtId="0" fontId="14" fillId="10" borderId="30" xfId="0" applyFont="1" applyFill="1" applyBorder="1" applyAlignment="1">
      <alignment horizontal="center" vertical="center" wrapText="1"/>
    </xf>
    <xf numFmtId="0" fontId="14" fillId="10" borderId="31" xfId="0" applyFont="1" applyFill="1" applyBorder="1" applyAlignment="1">
      <alignment horizontal="center" vertical="center" wrapText="1"/>
    </xf>
    <xf numFmtId="0" fontId="14" fillId="10" borderId="32" xfId="0" applyFont="1" applyFill="1" applyBorder="1" applyAlignment="1">
      <alignment horizontal="center" vertical="center" wrapText="1"/>
    </xf>
    <xf numFmtId="0" fontId="14" fillId="11" borderId="25" xfId="0" applyFont="1" applyFill="1" applyBorder="1" applyAlignment="1">
      <alignment horizontal="center" vertical="center" wrapText="1"/>
    </xf>
    <xf numFmtId="0" fontId="14" fillId="11" borderId="26" xfId="0" applyFont="1" applyFill="1" applyBorder="1" applyAlignment="1">
      <alignment horizontal="center" vertical="center" wrapText="1"/>
    </xf>
    <xf numFmtId="0" fontId="14" fillId="11" borderId="27" xfId="0" applyFont="1" applyFill="1" applyBorder="1" applyAlignment="1">
      <alignment horizontal="center" vertical="center" wrapText="1"/>
    </xf>
    <xf numFmtId="0" fontId="14" fillId="11" borderId="28" xfId="0" applyFont="1" applyFill="1" applyBorder="1" applyAlignment="1">
      <alignment horizontal="center" vertical="center" wrapText="1"/>
    </xf>
    <xf numFmtId="0" fontId="14" fillId="11" borderId="8" xfId="0" applyFont="1" applyFill="1" applyBorder="1" applyAlignment="1">
      <alignment horizontal="center" vertical="center" wrapText="1"/>
    </xf>
    <xf numFmtId="0" fontId="14" fillId="11" borderId="29" xfId="0" applyFont="1" applyFill="1" applyBorder="1" applyAlignment="1">
      <alignment horizontal="center" vertical="center" wrapText="1"/>
    </xf>
    <xf numFmtId="0" fontId="14" fillId="11" borderId="30" xfId="0" applyFont="1" applyFill="1" applyBorder="1" applyAlignment="1">
      <alignment horizontal="center" vertical="center" wrapText="1"/>
    </xf>
    <xf numFmtId="0" fontId="14" fillId="11" borderId="31" xfId="0" applyFont="1" applyFill="1" applyBorder="1" applyAlignment="1">
      <alignment horizontal="center" vertical="center" wrapText="1"/>
    </xf>
    <xf numFmtId="0" fontId="14" fillId="11" borderId="32" xfId="0" applyFont="1" applyFill="1" applyBorder="1" applyAlignment="1">
      <alignment horizontal="center" vertical="center" wrapText="1"/>
    </xf>
    <xf numFmtId="0" fontId="0" fillId="12" borderId="25" xfId="0" applyFill="1" applyBorder="1" applyAlignment="1">
      <alignment horizontal="center" vertical="center" wrapText="1"/>
    </xf>
    <xf numFmtId="0" fontId="0" fillId="12" borderId="26" xfId="0" applyFill="1" applyBorder="1" applyAlignment="1">
      <alignment horizontal="center" vertical="center" wrapText="1"/>
    </xf>
    <xf numFmtId="0" fontId="0" fillId="12" borderId="27" xfId="0" applyFill="1" applyBorder="1" applyAlignment="1">
      <alignment horizontal="center" vertical="center" wrapText="1"/>
    </xf>
    <xf numFmtId="0" fontId="0" fillId="12" borderId="28" xfId="0" applyFill="1" applyBorder="1" applyAlignment="1">
      <alignment horizontal="center" vertical="center" wrapText="1"/>
    </xf>
    <xf numFmtId="0" fontId="0" fillId="12" borderId="8" xfId="0" applyFill="1" applyBorder="1" applyAlignment="1">
      <alignment horizontal="center" vertical="center" wrapText="1"/>
    </xf>
    <xf numFmtId="0" fontId="0" fillId="12" borderId="29" xfId="0" applyFill="1" applyBorder="1" applyAlignment="1">
      <alignment horizontal="center" vertical="center" wrapText="1"/>
    </xf>
    <xf numFmtId="0" fontId="0" fillId="12" borderId="30" xfId="0" applyFill="1" applyBorder="1" applyAlignment="1">
      <alignment horizontal="center" vertical="center" wrapText="1"/>
    </xf>
    <xf numFmtId="0" fontId="0" fillId="12" borderId="31" xfId="0" applyFill="1" applyBorder="1" applyAlignment="1">
      <alignment horizontal="center" vertical="center" wrapText="1"/>
    </xf>
    <xf numFmtId="0" fontId="0" fillId="12" borderId="32" xfId="0" applyFill="1" applyBorder="1" applyAlignment="1">
      <alignment horizontal="center" vertical="center" wrapText="1"/>
    </xf>
    <xf numFmtId="0" fontId="13" fillId="12" borderId="19" xfId="0" applyFont="1" applyFill="1" applyBorder="1" applyAlignment="1">
      <alignment horizontal="center" wrapText="1"/>
    </xf>
    <xf numFmtId="0" fontId="13" fillId="12" borderId="20" xfId="0" applyFont="1" applyFill="1" applyBorder="1" applyAlignment="1">
      <alignment horizontal="center" wrapText="1"/>
    </xf>
    <xf numFmtId="0" fontId="13" fillId="12" borderId="21" xfId="0" applyFont="1" applyFill="1" applyBorder="1" applyAlignment="1">
      <alignment horizontal="center" wrapText="1"/>
    </xf>
    <xf numFmtId="0" fontId="13" fillId="11" borderId="19" xfId="0" applyFont="1" applyFill="1" applyBorder="1" applyAlignment="1">
      <alignment horizontal="center"/>
    </xf>
    <xf numFmtId="0" fontId="13" fillId="11" borderId="20" xfId="0" applyFont="1" applyFill="1" applyBorder="1" applyAlignment="1">
      <alignment horizontal="center"/>
    </xf>
    <xf numFmtId="0" fontId="13" fillId="11" borderId="21" xfId="0" applyFont="1" applyFill="1" applyBorder="1" applyAlignment="1">
      <alignment horizontal="center"/>
    </xf>
    <xf numFmtId="0" fontId="14" fillId="12" borderId="25"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4" fillId="12" borderId="27" xfId="0" applyFont="1" applyFill="1" applyBorder="1" applyAlignment="1">
      <alignment horizontal="center" vertical="center" wrapText="1"/>
    </xf>
    <xf numFmtId="0" fontId="14" fillId="12" borderId="28"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12" borderId="29" xfId="0" applyFont="1" applyFill="1" applyBorder="1" applyAlignment="1">
      <alignment horizontal="center" vertical="center" wrapText="1"/>
    </xf>
    <xf numFmtId="0" fontId="14" fillId="12" borderId="30" xfId="0" applyFont="1" applyFill="1" applyBorder="1" applyAlignment="1">
      <alignment horizontal="center" vertical="center" wrapText="1"/>
    </xf>
    <xf numFmtId="0" fontId="14" fillId="12" borderId="31" xfId="0" applyFont="1" applyFill="1" applyBorder="1" applyAlignment="1">
      <alignment horizontal="center" vertical="center" wrapText="1"/>
    </xf>
    <xf numFmtId="0" fontId="14" fillId="12" borderId="32" xfId="0" applyFont="1" applyFill="1" applyBorder="1" applyAlignment="1">
      <alignment horizontal="center" vertical="center" wrapText="1"/>
    </xf>
    <xf numFmtId="170" fontId="18" fillId="0" borderId="0" xfId="0" applyNumberFormat="1" applyFont="1"/>
  </cellXfs>
  <cellStyles count="3">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61"/>
  <sheetViews>
    <sheetView tabSelected="1" topLeftCell="A151" zoomScaleNormal="100" workbookViewId="0">
      <selection activeCell="I152" sqref="I152"/>
    </sheetView>
  </sheetViews>
  <sheetFormatPr defaultColWidth="11.42578125" defaultRowHeight="15"/>
  <cols>
    <col min="2" max="2" width="64.28515625" bestFit="1" customWidth="1"/>
    <col min="3" max="3" width="15.85546875" bestFit="1" customWidth="1"/>
    <col min="4" max="8" width="17" bestFit="1" customWidth="1"/>
    <col min="9" max="9" width="18.5703125" bestFit="1" customWidth="1"/>
  </cols>
  <sheetData>
    <row r="1" spans="2:9" ht="35.25" thickBot="1">
      <c r="B1" s="6" t="s">
        <v>0</v>
      </c>
      <c r="C1" s="6"/>
      <c r="D1" s="6"/>
      <c r="E1" s="6"/>
      <c r="F1" s="6"/>
      <c r="G1" s="6"/>
      <c r="H1" s="6"/>
      <c r="I1" s="6"/>
    </row>
    <row r="2" spans="2:9" ht="16.5" thickTop="1">
      <c r="B2" s="1"/>
      <c r="C2" s="67" t="s">
        <v>1</v>
      </c>
      <c r="D2" s="67"/>
      <c r="E2" s="67"/>
      <c r="F2" s="67"/>
      <c r="G2" s="67"/>
      <c r="H2" s="67"/>
      <c r="I2" s="7"/>
    </row>
    <row r="3" spans="2:9" ht="21.75" thickBot="1">
      <c r="B3" s="1"/>
      <c r="C3" s="2">
        <v>0</v>
      </c>
      <c r="D3" s="2">
        <v>1</v>
      </c>
      <c r="E3" s="2">
        <v>2</v>
      </c>
      <c r="F3" s="2">
        <v>3</v>
      </c>
      <c r="G3" s="2">
        <v>4</v>
      </c>
      <c r="H3" s="2">
        <v>5</v>
      </c>
      <c r="I3" s="2" t="s">
        <v>2</v>
      </c>
    </row>
    <row r="4" spans="2:9" ht="16.5" thickTop="1">
      <c r="B4" s="1"/>
    </row>
    <row r="5" spans="2:9" ht="15.75">
      <c r="B5" s="8" t="s">
        <v>3</v>
      </c>
      <c r="C5" s="9"/>
      <c r="D5" s="9"/>
      <c r="E5" s="9"/>
      <c r="F5" s="9"/>
      <c r="G5" s="9"/>
      <c r="H5" s="9"/>
      <c r="I5" s="9"/>
    </row>
    <row r="6" spans="2:9" ht="15.75">
      <c r="B6" s="1"/>
    </row>
    <row r="7" spans="2:9" ht="15.75">
      <c r="B7" s="11" t="s">
        <v>4</v>
      </c>
      <c r="C7" s="12"/>
      <c r="D7" s="12"/>
      <c r="E7" s="12"/>
      <c r="F7" s="12"/>
      <c r="G7" s="12"/>
      <c r="H7" s="12"/>
      <c r="I7" s="13"/>
    </row>
    <row r="8" spans="2:9">
      <c r="B8" s="4" t="s">
        <v>5</v>
      </c>
      <c r="C8" s="60">
        <v>15000000</v>
      </c>
      <c r="D8" s="61">
        <v>0</v>
      </c>
      <c r="E8" s="61">
        <v>0</v>
      </c>
      <c r="F8" s="61">
        <v>0</v>
      </c>
      <c r="G8" s="61">
        <v>0</v>
      </c>
      <c r="H8" s="61">
        <v>0</v>
      </c>
      <c r="I8" s="58">
        <f>+SUM(C8:H8)</f>
        <v>15000000</v>
      </c>
    </row>
    <row r="9" spans="2:9">
      <c r="B9" s="4" t="s">
        <v>6</v>
      </c>
      <c r="C9" s="60">
        <v>6000000</v>
      </c>
      <c r="D9" s="61">
        <v>0</v>
      </c>
      <c r="E9" s="61">
        <v>0</v>
      </c>
      <c r="F9" s="61">
        <v>10000000</v>
      </c>
      <c r="G9" s="61">
        <v>0</v>
      </c>
      <c r="H9" s="61">
        <v>0</v>
      </c>
      <c r="I9" s="58">
        <f t="shared" ref="I9:I13" si="0">+SUM(C9:H9)</f>
        <v>16000000</v>
      </c>
    </row>
    <row r="10" spans="2:9">
      <c r="B10" s="4" t="s">
        <v>7</v>
      </c>
      <c r="C10" s="60">
        <v>4000000</v>
      </c>
      <c r="D10" s="61">
        <v>0</v>
      </c>
      <c r="E10" s="61">
        <v>0</v>
      </c>
      <c r="F10" s="61">
        <v>0</v>
      </c>
      <c r="G10" s="61">
        <v>0</v>
      </c>
      <c r="H10" s="61">
        <v>0</v>
      </c>
      <c r="I10" s="58">
        <f t="shared" si="0"/>
        <v>4000000</v>
      </c>
    </row>
    <row r="11" spans="2:9">
      <c r="B11" s="4" t="s">
        <v>8</v>
      </c>
      <c r="C11" s="60">
        <v>0</v>
      </c>
      <c r="D11" s="61">
        <v>0</v>
      </c>
      <c r="E11" s="61">
        <v>0</v>
      </c>
      <c r="F11" s="61">
        <v>0</v>
      </c>
      <c r="G11" s="61">
        <v>0</v>
      </c>
      <c r="H11" s="61">
        <v>0</v>
      </c>
      <c r="I11" s="58">
        <f t="shared" si="0"/>
        <v>0</v>
      </c>
    </row>
    <row r="12" spans="2:9">
      <c r="B12" s="4" t="s">
        <v>9</v>
      </c>
      <c r="C12" s="60">
        <v>0</v>
      </c>
      <c r="D12" s="61">
        <v>0</v>
      </c>
      <c r="E12" s="61">
        <v>0</v>
      </c>
      <c r="F12" s="61">
        <v>0</v>
      </c>
      <c r="G12" s="61">
        <v>0</v>
      </c>
      <c r="H12" s="61">
        <v>0</v>
      </c>
      <c r="I12" s="58">
        <f t="shared" si="0"/>
        <v>0</v>
      </c>
    </row>
    <row r="13" spans="2:9">
      <c r="B13" s="4" t="s">
        <v>10</v>
      </c>
      <c r="C13" s="60">
        <v>10000000</v>
      </c>
      <c r="D13" s="61">
        <v>0</v>
      </c>
      <c r="E13" s="61">
        <v>0</v>
      </c>
      <c r="F13" s="61">
        <v>30000000</v>
      </c>
      <c r="G13" s="61">
        <v>0</v>
      </c>
      <c r="H13" s="61">
        <v>0</v>
      </c>
      <c r="I13" s="58">
        <f t="shared" si="0"/>
        <v>40000000</v>
      </c>
    </row>
    <row r="14" spans="2:9" ht="16.5" thickBot="1">
      <c r="B14" s="3" t="s">
        <v>11</v>
      </c>
      <c r="C14" s="59">
        <f>SUM(C8:C13)</f>
        <v>35000000</v>
      </c>
      <c r="D14" s="59">
        <f t="shared" ref="D14:H14" si="1">SUM(D8:D13)</f>
        <v>0</v>
      </c>
      <c r="E14" s="59">
        <f t="shared" si="1"/>
        <v>0</v>
      </c>
      <c r="F14" s="59">
        <f t="shared" si="1"/>
        <v>40000000</v>
      </c>
      <c r="G14" s="59">
        <f t="shared" si="1"/>
        <v>0</v>
      </c>
      <c r="H14" s="59">
        <f t="shared" si="1"/>
        <v>0</v>
      </c>
      <c r="I14" s="59">
        <f>SUM(I8:I13)</f>
        <v>75000000</v>
      </c>
    </row>
    <row r="15" spans="2:9" ht="15.75">
      <c r="B15" s="1"/>
      <c r="C15" s="25"/>
      <c r="D15" s="25"/>
      <c r="E15" s="25"/>
      <c r="F15" s="25"/>
      <c r="G15" s="25"/>
      <c r="H15" s="25"/>
      <c r="I15" s="25"/>
    </row>
    <row r="16" spans="2:9" ht="15.75">
      <c r="B16" s="11" t="s">
        <v>12</v>
      </c>
      <c r="C16" s="27"/>
      <c r="D16" s="27"/>
      <c r="E16" s="27"/>
      <c r="F16" s="27"/>
      <c r="G16" s="27"/>
      <c r="H16" s="27"/>
      <c r="I16" s="28"/>
    </row>
    <row r="17" spans="2:9">
      <c r="B17" s="4" t="s">
        <v>13</v>
      </c>
      <c r="C17" s="62">
        <v>0</v>
      </c>
      <c r="D17" s="62">
        <v>210000000</v>
      </c>
      <c r="E17" s="62">
        <v>219000000</v>
      </c>
      <c r="F17" s="62">
        <v>229000000</v>
      </c>
      <c r="G17" s="62">
        <v>240000000</v>
      </c>
      <c r="H17" s="62">
        <v>250000000</v>
      </c>
      <c r="I17" s="63">
        <f>SUM(C17:H17)</f>
        <v>1148000000</v>
      </c>
    </row>
    <row r="18" spans="2:9">
      <c r="B18" s="4" t="s">
        <v>14</v>
      </c>
      <c r="C18" s="62">
        <v>0</v>
      </c>
      <c r="D18" s="62">
        <v>30000000</v>
      </c>
      <c r="E18" s="62">
        <v>31350000</v>
      </c>
      <c r="F18" s="62">
        <v>32760750</v>
      </c>
      <c r="G18" s="62">
        <v>34234984</v>
      </c>
      <c r="H18" s="62">
        <v>35775558</v>
      </c>
      <c r="I18" s="63">
        <f>SUM(C18:H18)</f>
        <v>164121292</v>
      </c>
    </row>
    <row r="19" spans="2:9">
      <c r="B19" s="4" t="s">
        <v>15</v>
      </c>
      <c r="C19" s="62">
        <v>0</v>
      </c>
      <c r="D19" s="62">
        <v>0</v>
      </c>
      <c r="E19" s="62">
        <v>0</v>
      </c>
      <c r="F19" s="62">
        <v>0</v>
      </c>
      <c r="G19" s="62">
        <v>10270495</v>
      </c>
      <c r="H19" s="62">
        <v>10732667</v>
      </c>
      <c r="I19" s="63">
        <f t="shared" ref="I19:I20" si="2">SUM(C19:H19)</f>
        <v>21003162</v>
      </c>
    </row>
    <row r="20" spans="2:9">
      <c r="B20" s="4" t="s">
        <v>16</v>
      </c>
      <c r="C20" s="62">
        <v>0</v>
      </c>
      <c r="D20" s="62">
        <v>60000000</v>
      </c>
      <c r="E20" s="62">
        <v>62700000</v>
      </c>
      <c r="F20" s="62">
        <v>65521500</v>
      </c>
      <c r="G20" s="62">
        <v>58199472</v>
      </c>
      <c r="H20" s="62">
        <v>60818449</v>
      </c>
      <c r="I20" s="63">
        <f t="shared" si="2"/>
        <v>307239421</v>
      </c>
    </row>
    <row r="21" spans="2:9" ht="16.5" thickBot="1">
      <c r="B21" s="3" t="s">
        <v>17</v>
      </c>
      <c r="C21" s="64">
        <f>SUM(C17:C20)</f>
        <v>0</v>
      </c>
      <c r="D21" s="64">
        <f t="shared" ref="D21:H21" si="3">SUM(D17:D20)</f>
        <v>300000000</v>
      </c>
      <c r="E21" s="64">
        <f t="shared" si="3"/>
        <v>313050000</v>
      </c>
      <c r="F21" s="64">
        <f t="shared" si="3"/>
        <v>327282250</v>
      </c>
      <c r="G21" s="64">
        <f t="shared" si="3"/>
        <v>342704951</v>
      </c>
      <c r="H21" s="64">
        <f t="shared" si="3"/>
        <v>357326674</v>
      </c>
      <c r="I21" s="64">
        <f>SUM(I17:I20)</f>
        <v>1640363875</v>
      </c>
    </row>
    <row r="22" spans="2:9" ht="15.75">
      <c r="B22" s="1"/>
      <c r="C22" s="25"/>
      <c r="D22" s="25"/>
      <c r="E22" s="25"/>
      <c r="F22" s="25"/>
      <c r="G22" s="25"/>
      <c r="H22" s="25"/>
      <c r="I22" s="25"/>
    </row>
    <row r="23" spans="2:9" ht="16.5" thickBot="1">
      <c r="B23" s="3" t="s">
        <v>18</v>
      </c>
      <c r="C23" s="26">
        <f>+C14+C21</f>
        <v>35000000</v>
      </c>
      <c r="D23" s="26">
        <f t="shared" ref="D23:H23" si="4">+D14+D21</f>
        <v>300000000</v>
      </c>
      <c r="E23" s="26">
        <f t="shared" si="4"/>
        <v>313050000</v>
      </c>
      <c r="F23" s="26">
        <f t="shared" si="4"/>
        <v>367282250</v>
      </c>
      <c r="G23" s="26">
        <f t="shared" si="4"/>
        <v>342704951</v>
      </c>
      <c r="H23" s="26">
        <f t="shared" si="4"/>
        <v>357326674</v>
      </c>
      <c r="I23" s="26">
        <f>+I14+I21</f>
        <v>1715363875</v>
      </c>
    </row>
    <row r="24" spans="2:9" ht="15.75">
      <c r="B24" s="1"/>
      <c r="C24" s="25"/>
      <c r="D24" s="25"/>
      <c r="E24" s="25"/>
      <c r="F24" s="25"/>
      <c r="G24" s="25"/>
      <c r="H24" s="25"/>
      <c r="I24" s="25"/>
    </row>
    <row r="25" spans="2:9" ht="15.75">
      <c r="B25" s="8" t="s">
        <v>19</v>
      </c>
      <c r="C25" s="29"/>
      <c r="D25" s="29"/>
      <c r="E25" s="29"/>
      <c r="F25" s="29"/>
      <c r="G25" s="29"/>
      <c r="H25" s="29"/>
      <c r="I25" s="29"/>
    </row>
    <row r="26" spans="2:9" ht="15.75">
      <c r="B26" s="1"/>
      <c r="C26" s="25"/>
      <c r="D26" s="25"/>
      <c r="E26" s="25"/>
      <c r="F26" s="25"/>
      <c r="G26" s="25"/>
      <c r="H26" s="25"/>
      <c r="I26" s="25"/>
    </row>
    <row r="27" spans="2:9" ht="15.75">
      <c r="B27" s="11" t="s">
        <v>20</v>
      </c>
      <c r="C27" s="27"/>
      <c r="D27" s="27"/>
      <c r="E27" s="27"/>
      <c r="F27" s="27"/>
      <c r="G27" s="27"/>
      <c r="H27" s="27"/>
      <c r="I27" s="28"/>
    </row>
    <row r="28" spans="2:9">
      <c r="B28" s="4" t="s">
        <v>21</v>
      </c>
      <c r="C28" s="62"/>
      <c r="D28" s="62">
        <v>0</v>
      </c>
      <c r="E28" s="62">
        <v>0</v>
      </c>
      <c r="F28" s="62">
        <v>0</v>
      </c>
      <c r="G28" s="62">
        <v>0</v>
      </c>
      <c r="H28" s="62">
        <v>0</v>
      </c>
      <c r="I28" s="63">
        <f t="shared" ref="I28:I35" si="5">SUM(C28:H28)</f>
        <v>0</v>
      </c>
    </row>
    <row r="29" spans="2:9">
      <c r="B29" s="4" t="s">
        <v>22</v>
      </c>
      <c r="C29" s="62">
        <v>0</v>
      </c>
      <c r="D29" s="62">
        <v>0</v>
      </c>
      <c r="E29" s="62">
        <v>0</v>
      </c>
      <c r="F29" s="62">
        <v>0</v>
      </c>
      <c r="G29" s="62">
        <v>0</v>
      </c>
      <c r="H29" s="62">
        <v>0</v>
      </c>
      <c r="I29" s="63">
        <f t="shared" si="5"/>
        <v>0</v>
      </c>
    </row>
    <row r="30" spans="2:9">
      <c r="B30" s="4" t="s">
        <v>23</v>
      </c>
      <c r="C30" s="62"/>
      <c r="D30" s="62">
        <v>0</v>
      </c>
      <c r="E30" s="62">
        <v>0</v>
      </c>
      <c r="F30" s="62">
        <v>0</v>
      </c>
      <c r="G30" s="62">
        <v>0</v>
      </c>
      <c r="H30" s="62">
        <v>0</v>
      </c>
      <c r="I30" s="63">
        <f t="shared" si="5"/>
        <v>0</v>
      </c>
    </row>
    <row r="31" spans="2:9">
      <c r="B31" s="4" t="s">
        <v>24</v>
      </c>
      <c r="C31" s="62">
        <v>0</v>
      </c>
      <c r="D31" s="62">
        <v>0</v>
      </c>
      <c r="E31" s="62">
        <v>0</v>
      </c>
      <c r="F31" s="62">
        <v>0</v>
      </c>
      <c r="G31" s="62">
        <v>0</v>
      </c>
      <c r="H31" s="62">
        <v>0</v>
      </c>
      <c r="I31" s="63">
        <f t="shared" si="5"/>
        <v>0</v>
      </c>
    </row>
    <row r="32" spans="2:9">
      <c r="B32" s="4" t="s">
        <v>25</v>
      </c>
      <c r="C32" s="62"/>
      <c r="D32" s="62">
        <v>0</v>
      </c>
      <c r="E32" s="62">
        <v>0</v>
      </c>
      <c r="F32" s="62">
        <v>0</v>
      </c>
      <c r="G32" s="62">
        <v>0</v>
      </c>
      <c r="H32" s="62">
        <v>0</v>
      </c>
      <c r="I32" s="63">
        <f t="shared" si="5"/>
        <v>0</v>
      </c>
    </row>
    <row r="33" spans="2:9">
      <c r="B33" s="4" t="s">
        <v>26</v>
      </c>
      <c r="C33" s="62">
        <v>1500000</v>
      </c>
      <c r="D33" s="62">
        <v>0</v>
      </c>
      <c r="E33" s="62">
        <v>0</v>
      </c>
      <c r="F33" s="62">
        <v>0</v>
      </c>
      <c r="G33" s="62">
        <v>0</v>
      </c>
      <c r="H33" s="62">
        <v>0</v>
      </c>
      <c r="I33" s="63">
        <f t="shared" si="5"/>
        <v>1500000</v>
      </c>
    </row>
    <row r="34" spans="2:9">
      <c r="B34" s="4" t="s">
        <v>27</v>
      </c>
      <c r="C34" s="62">
        <v>500000</v>
      </c>
      <c r="D34" s="62">
        <v>0</v>
      </c>
      <c r="E34" s="62">
        <v>0</v>
      </c>
      <c r="F34" s="62">
        <v>0</v>
      </c>
      <c r="G34" s="62">
        <v>0</v>
      </c>
      <c r="H34" s="62">
        <v>0</v>
      </c>
      <c r="I34" s="63">
        <f t="shared" si="5"/>
        <v>500000</v>
      </c>
    </row>
    <row r="35" spans="2:9">
      <c r="B35" s="4" t="s">
        <v>28</v>
      </c>
      <c r="C35" s="62"/>
      <c r="D35" s="62">
        <v>0</v>
      </c>
      <c r="E35" s="62">
        <v>0</v>
      </c>
      <c r="F35" s="62">
        <v>0</v>
      </c>
      <c r="G35" s="62">
        <v>0</v>
      </c>
      <c r="H35" s="62">
        <v>0</v>
      </c>
      <c r="I35" s="63">
        <f t="shared" si="5"/>
        <v>0</v>
      </c>
    </row>
    <row r="36" spans="2:9" ht="16.5" thickBot="1">
      <c r="B36" s="3" t="s">
        <v>29</v>
      </c>
      <c r="C36" s="64">
        <f>SUM(C28:C35)</f>
        <v>2000000</v>
      </c>
      <c r="D36" s="64">
        <f t="shared" ref="D36:H36" si="6">SUM(D28:D35)</f>
        <v>0</v>
      </c>
      <c r="E36" s="64">
        <f t="shared" si="6"/>
        <v>0</v>
      </c>
      <c r="F36" s="64">
        <f t="shared" si="6"/>
        <v>0</v>
      </c>
      <c r="G36" s="64">
        <f t="shared" si="6"/>
        <v>0</v>
      </c>
      <c r="H36" s="64">
        <f t="shared" si="6"/>
        <v>0</v>
      </c>
      <c r="I36" s="64">
        <f>SUM(I28:I35)</f>
        <v>2000000</v>
      </c>
    </row>
    <row r="37" spans="2:9" ht="15.75">
      <c r="B37" s="1"/>
      <c r="C37" s="25"/>
      <c r="D37" s="25"/>
      <c r="E37" s="25"/>
      <c r="F37" s="25"/>
      <c r="G37" s="25"/>
      <c r="H37" s="25"/>
      <c r="I37" s="25"/>
    </row>
    <row r="38" spans="2:9" ht="15.75">
      <c r="B38" s="11" t="s">
        <v>30</v>
      </c>
      <c r="C38" s="27"/>
      <c r="D38" s="27"/>
      <c r="E38" s="27"/>
      <c r="F38" s="27"/>
      <c r="G38" s="27"/>
      <c r="H38" s="27"/>
      <c r="I38" s="28"/>
    </row>
    <row r="39" spans="2:9">
      <c r="B39" s="4" t="s">
        <v>31</v>
      </c>
      <c r="C39" s="62">
        <v>0</v>
      </c>
      <c r="D39" s="62">
        <v>0</v>
      </c>
      <c r="E39" s="62">
        <v>0</v>
      </c>
      <c r="F39" s="62">
        <v>0</v>
      </c>
      <c r="G39" s="62">
        <v>3000000</v>
      </c>
      <c r="H39" s="62">
        <v>3000000</v>
      </c>
      <c r="I39" s="63">
        <f>SUM(C39:H39)</f>
        <v>6000000</v>
      </c>
    </row>
    <row r="40" spans="2:9">
      <c r="B40" s="4" t="s">
        <v>32</v>
      </c>
      <c r="C40" s="62">
        <v>0</v>
      </c>
      <c r="D40" s="62">
        <v>0</v>
      </c>
      <c r="E40" s="62">
        <v>0</v>
      </c>
      <c r="F40" s="62">
        <v>20000000</v>
      </c>
      <c r="G40" s="62">
        <v>0</v>
      </c>
      <c r="H40" s="62">
        <v>0</v>
      </c>
      <c r="I40" s="63">
        <f t="shared" ref="I40:I41" si="7">SUM(C40:H40)</f>
        <v>20000000</v>
      </c>
    </row>
    <row r="41" spans="2:9">
      <c r="B41" s="4" t="s">
        <v>33</v>
      </c>
      <c r="C41" s="62">
        <v>0</v>
      </c>
      <c r="D41" s="62">
        <v>0</v>
      </c>
      <c r="E41" s="62">
        <v>0</v>
      </c>
      <c r="F41" s="62">
        <v>8000000</v>
      </c>
      <c r="G41" s="62">
        <v>4000000</v>
      </c>
      <c r="H41" s="62">
        <v>0</v>
      </c>
      <c r="I41" s="63">
        <f t="shared" si="7"/>
        <v>12000000</v>
      </c>
    </row>
    <row r="42" spans="2:9" ht="16.5" thickBot="1">
      <c r="B42" s="3" t="s">
        <v>34</v>
      </c>
      <c r="C42" s="64">
        <f>SUM(C39:C41)</f>
        <v>0</v>
      </c>
      <c r="D42" s="64">
        <f>SUM(D39:D41)</f>
        <v>0</v>
      </c>
      <c r="E42" s="64">
        <f>SUM(E39:E41)</f>
        <v>0</v>
      </c>
      <c r="F42" s="64">
        <f t="shared" ref="F42:G42" si="8">SUM(F39:F41)</f>
        <v>28000000</v>
      </c>
      <c r="G42" s="64">
        <f t="shared" si="8"/>
        <v>7000000</v>
      </c>
      <c r="H42" s="64">
        <f>SUM(H39:H41)</f>
        <v>3000000</v>
      </c>
      <c r="I42" s="64">
        <f>SUM(I39:I41)</f>
        <v>38000000</v>
      </c>
    </row>
    <row r="43" spans="2:9" ht="15.75">
      <c r="B43" s="1"/>
      <c r="C43" s="25"/>
      <c r="D43" s="25"/>
      <c r="E43" s="25"/>
      <c r="F43" s="25"/>
      <c r="G43" s="25"/>
      <c r="H43" s="25"/>
      <c r="I43" s="25"/>
    </row>
    <row r="44" spans="2:9" ht="15.75">
      <c r="B44" s="11" t="s">
        <v>35</v>
      </c>
      <c r="C44" s="27"/>
      <c r="D44" s="27"/>
      <c r="E44" s="27"/>
      <c r="F44" s="27"/>
      <c r="G44" s="27"/>
      <c r="H44" s="27"/>
      <c r="I44" s="28"/>
    </row>
    <row r="45" spans="2:9">
      <c r="B45" s="4" t="s">
        <v>36</v>
      </c>
      <c r="C45" s="62">
        <v>0</v>
      </c>
      <c r="D45" s="62">
        <v>0</v>
      </c>
      <c r="E45" s="62">
        <v>0</v>
      </c>
      <c r="F45" s="62">
        <v>0</v>
      </c>
      <c r="G45" s="62">
        <v>0</v>
      </c>
      <c r="H45" s="62">
        <v>0</v>
      </c>
      <c r="I45" s="63">
        <f t="shared" ref="I45:I53" si="9">SUM(C45:H45)</f>
        <v>0</v>
      </c>
    </row>
    <row r="46" spans="2:9">
      <c r="B46" s="4" t="s">
        <v>37</v>
      </c>
      <c r="C46" s="62">
        <v>0</v>
      </c>
      <c r="D46" s="62">
        <v>0</v>
      </c>
      <c r="E46" s="62">
        <v>0</v>
      </c>
      <c r="F46" s="62">
        <v>0</v>
      </c>
      <c r="G46" s="62">
        <v>0</v>
      </c>
      <c r="H46" s="62">
        <v>0</v>
      </c>
      <c r="I46" s="63">
        <f t="shared" si="9"/>
        <v>0</v>
      </c>
    </row>
    <row r="47" spans="2:9">
      <c r="B47" s="4" t="s">
        <v>38</v>
      </c>
      <c r="C47" s="62">
        <v>0</v>
      </c>
      <c r="D47" s="62">
        <v>0</v>
      </c>
      <c r="E47" s="62">
        <v>0</v>
      </c>
      <c r="F47" s="62">
        <v>0</v>
      </c>
      <c r="G47" s="62">
        <v>0</v>
      </c>
      <c r="H47" s="62">
        <v>0</v>
      </c>
      <c r="I47" s="63">
        <f t="shared" si="9"/>
        <v>0</v>
      </c>
    </row>
    <row r="48" spans="2:9">
      <c r="B48" s="4" t="s">
        <v>39</v>
      </c>
      <c r="C48" s="62">
        <v>0</v>
      </c>
      <c r="D48" s="62">
        <v>120000000</v>
      </c>
      <c r="E48" s="62">
        <v>130000000</v>
      </c>
      <c r="F48" s="62">
        <v>135000000</v>
      </c>
      <c r="G48" s="62">
        <v>145000000</v>
      </c>
      <c r="H48" s="62">
        <v>155000000</v>
      </c>
      <c r="I48" s="63">
        <f t="shared" si="9"/>
        <v>685000000</v>
      </c>
    </row>
    <row r="49" spans="2:9">
      <c r="B49" s="4" t="s">
        <v>40</v>
      </c>
      <c r="C49" s="62">
        <v>0</v>
      </c>
      <c r="D49" s="62">
        <v>6000000</v>
      </c>
      <c r="E49" s="62">
        <v>6500000</v>
      </c>
      <c r="F49" s="62">
        <v>6500000</v>
      </c>
      <c r="G49" s="62">
        <v>7000000</v>
      </c>
      <c r="H49" s="62">
        <v>7500000</v>
      </c>
      <c r="I49" s="63">
        <f t="shared" si="9"/>
        <v>33500000</v>
      </c>
    </row>
    <row r="50" spans="2:9">
      <c r="B50" s="4" t="s">
        <v>41</v>
      </c>
      <c r="C50" s="62">
        <v>0</v>
      </c>
      <c r="D50" s="62">
        <v>0</v>
      </c>
      <c r="E50" s="62">
        <v>0</v>
      </c>
      <c r="F50" s="62">
        <v>0</v>
      </c>
      <c r="G50" s="62">
        <v>0</v>
      </c>
      <c r="H50" s="62">
        <v>0</v>
      </c>
      <c r="I50" s="63">
        <f t="shared" si="9"/>
        <v>0</v>
      </c>
    </row>
    <row r="51" spans="2:9">
      <c r="B51" s="4" t="s">
        <v>42</v>
      </c>
      <c r="C51" s="62">
        <v>0</v>
      </c>
      <c r="D51" s="62">
        <v>0</v>
      </c>
      <c r="E51" s="62">
        <v>0</v>
      </c>
      <c r="F51" s="62">
        <v>0</v>
      </c>
      <c r="G51" s="62">
        <v>0</v>
      </c>
      <c r="H51" s="62">
        <v>0</v>
      </c>
      <c r="I51" s="63">
        <f t="shared" si="9"/>
        <v>0</v>
      </c>
    </row>
    <row r="52" spans="2:9">
      <c r="B52" s="4" t="s">
        <v>43</v>
      </c>
      <c r="C52" s="62">
        <v>0</v>
      </c>
      <c r="D52" s="62">
        <v>0</v>
      </c>
      <c r="E52" s="62">
        <v>0</v>
      </c>
      <c r="F52" s="62">
        <v>0</v>
      </c>
      <c r="G52" s="62">
        <v>0</v>
      </c>
      <c r="H52" s="62">
        <v>0</v>
      </c>
      <c r="I52" s="63">
        <f t="shared" si="9"/>
        <v>0</v>
      </c>
    </row>
    <row r="53" spans="2:9">
      <c r="B53" s="4" t="s">
        <v>44</v>
      </c>
      <c r="C53" s="62">
        <v>0</v>
      </c>
      <c r="D53" s="62">
        <v>0</v>
      </c>
      <c r="E53" s="62">
        <v>0</v>
      </c>
      <c r="F53" s="62">
        <v>0</v>
      </c>
      <c r="G53" s="62">
        <v>0</v>
      </c>
      <c r="H53" s="62">
        <v>0</v>
      </c>
      <c r="I53" s="63">
        <f t="shared" si="9"/>
        <v>0</v>
      </c>
    </row>
    <row r="54" spans="2:9" ht="16.5" thickBot="1">
      <c r="B54" s="3" t="s">
        <v>45</v>
      </c>
      <c r="C54" s="64">
        <f t="shared" ref="C54:I54" si="10">SUM(C45:C53)</f>
        <v>0</v>
      </c>
      <c r="D54" s="64">
        <f t="shared" si="10"/>
        <v>126000000</v>
      </c>
      <c r="E54" s="64">
        <f t="shared" si="10"/>
        <v>136500000</v>
      </c>
      <c r="F54" s="64">
        <f t="shared" si="10"/>
        <v>141500000</v>
      </c>
      <c r="G54" s="64">
        <f t="shared" si="10"/>
        <v>152000000</v>
      </c>
      <c r="H54" s="64">
        <f t="shared" si="10"/>
        <v>162500000</v>
      </c>
      <c r="I54" s="64">
        <f t="shared" si="10"/>
        <v>718500000</v>
      </c>
    </row>
    <row r="55" spans="2:9" ht="15.75">
      <c r="B55" s="1"/>
      <c r="C55" s="25"/>
      <c r="D55" s="25"/>
      <c r="E55" s="25"/>
      <c r="F55" s="25"/>
      <c r="G55" s="25"/>
      <c r="H55" s="25"/>
      <c r="I55" s="25"/>
    </row>
    <row r="56" spans="2:9" ht="16.5" thickBot="1">
      <c r="B56" s="3" t="s">
        <v>46</v>
      </c>
      <c r="C56" s="26">
        <f t="shared" ref="C56:I56" si="11">+C36+C42+C54</f>
        <v>2000000</v>
      </c>
      <c r="D56" s="26">
        <f t="shared" si="11"/>
        <v>126000000</v>
      </c>
      <c r="E56" s="26">
        <f t="shared" si="11"/>
        <v>136500000</v>
      </c>
      <c r="F56" s="26">
        <f t="shared" si="11"/>
        <v>169500000</v>
      </c>
      <c r="G56" s="26">
        <f t="shared" si="11"/>
        <v>159000000</v>
      </c>
      <c r="H56" s="26">
        <f t="shared" si="11"/>
        <v>165500000</v>
      </c>
      <c r="I56" s="26">
        <f t="shared" si="11"/>
        <v>758500000</v>
      </c>
    </row>
    <row r="57" spans="2:9" ht="15.75">
      <c r="B57" s="1"/>
      <c r="C57" s="25"/>
      <c r="D57" s="25"/>
      <c r="E57" s="25"/>
      <c r="F57" s="25"/>
      <c r="G57" s="25"/>
      <c r="H57" s="25"/>
      <c r="I57" s="25"/>
    </row>
    <row r="58" spans="2:9" ht="15.75">
      <c r="B58" s="11" t="s">
        <v>47</v>
      </c>
      <c r="C58" s="27"/>
      <c r="D58" s="27"/>
      <c r="E58" s="27"/>
      <c r="F58" s="27"/>
      <c r="G58" s="27"/>
      <c r="H58" s="27"/>
      <c r="I58" s="28"/>
    </row>
    <row r="59" spans="2:9">
      <c r="B59" s="4" t="s">
        <v>48</v>
      </c>
      <c r="C59" s="62">
        <f>12*100000</f>
        <v>1200000</v>
      </c>
      <c r="D59" s="62">
        <v>12000000</v>
      </c>
      <c r="E59" s="62">
        <v>12540000</v>
      </c>
      <c r="F59" s="62">
        <v>13104300</v>
      </c>
      <c r="G59" s="62">
        <v>13693994</v>
      </c>
      <c r="H59" s="62">
        <v>14310224</v>
      </c>
      <c r="I59" s="63">
        <f>SUM(C59:H59)</f>
        <v>66848518</v>
      </c>
    </row>
    <row r="60" spans="2:9">
      <c r="B60" s="4" t="s">
        <v>49</v>
      </c>
      <c r="C60" s="62">
        <v>0</v>
      </c>
      <c r="D60" s="62">
        <v>0</v>
      </c>
      <c r="E60" s="62">
        <v>0</v>
      </c>
      <c r="F60" s="62">
        <v>0</v>
      </c>
      <c r="G60" s="62">
        <v>0</v>
      </c>
      <c r="H60" s="62">
        <v>0</v>
      </c>
      <c r="I60" s="63">
        <f t="shared" ref="I60:I64" si="12">SUM(C60:H60)</f>
        <v>0</v>
      </c>
    </row>
    <row r="61" spans="2:9">
      <c r="B61" s="4" t="s">
        <v>50</v>
      </c>
      <c r="C61" s="62">
        <v>0</v>
      </c>
      <c r="D61" s="62">
        <v>0</v>
      </c>
      <c r="E61" s="62">
        <v>0</v>
      </c>
      <c r="F61" s="62">
        <v>12000000</v>
      </c>
      <c r="G61" s="62">
        <v>12540000</v>
      </c>
      <c r="H61" s="62">
        <v>13104300</v>
      </c>
      <c r="I61" s="63">
        <f t="shared" si="12"/>
        <v>37644300</v>
      </c>
    </row>
    <row r="62" spans="2:9">
      <c r="B62" s="4" t="s">
        <v>51</v>
      </c>
      <c r="C62" s="62">
        <v>0</v>
      </c>
      <c r="D62" s="62">
        <v>0</v>
      </c>
      <c r="E62" s="62">
        <v>0</v>
      </c>
      <c r="F62" s="62">
        <v>0</v>
      </c>
      <c r="G62" s="62">
        <v>0</v>
      </c>
      <c r="H62" s="62">
        <v>0</v>
      </c>
      <c r="I62" s="63">
        <f t="shared" si="12"/>
        <v>0</v>
      </c>
    </row>
    <row r="63" spans="2:9">
      <c r="B63" s="4" t="s">
        <v>52</v>
      </c>
      <c r="C63" s="62">
        <v>0</v>
      </c>
      <c r="D63" s="62">
        <v>0</v>
      </c>
      <c r="E63" s="62">
        <v>0</v>
      </c>
      <c r="F63" s="62">
        <v>500000</v>
      </c>
      <c r="G63" s="62">
        <v>600000</v>
      </c>
      <c r="H63" s="62">
        <v>700000</v>
      </c>
      <c r="I63" s="63">
        <f t="shared" si="12"/>
        <v>1800000</v>
      </c>
    </row>
    <row r="64" spans="2:9">
      <c r="B64" s="4" t="s">
        <v>53</v>
      </c>
      <c r="C64" s="62">
        <f>12*50000</f>
        <v>600000</v>
      </c>
      <c r="D64" s="62">
        <v>0</v>
      </c>
      <c r="E64" s="62">
        <v>0</v>
      </c>
      <c r="F64" s="62">
        <v>0</v>
      </c>
      <c r="G64" s="62">
        <v>0</v>
      </c>
      <c r="H64" s="62">
        <v>0</v>
      </c>
      <c r="I64" s="63">
        <f t="shared" si="12"/>
        <v>600000</v>
      </c>
    </row>
    <row r="65" spans="2:9" ht="16.5" thickBot="1">
      <c r="B65" s="3" t="s">
        <v>54</v>
      </c>
      <c r="C65" s="64">
        <f t="shared" ref="C65:I65" si="13">SUM(C59:C64)</f>
        <v>1800000</v>
      </c>
      <c r="D65" s="64">
        <f t="shared" si="13"/>
        <v>12000000</v>
      </c>
      <c r="E65" s="64">
        <f t="shared" si="13"/>
        <v>12540000</v>
      </c>
      <c r="F65" s="64">
        <f t="shared" si="13"/>
        <v>25604300</v>
      </c>
      <c r="G65" s="64">
        <f t="shared" si="13"/>
        <v>26833994</v>
      </c>
      <c r="H65" s="64">
        <f t="shared" si="13"/>
        <v>28114524</v>
      </c>
      <c r="I65" s="64">
        <f t="shared" si="13"/>
        <v>106892818</v>
      </c>
    </row>
    <row r="66" spans="2:9" ht="15.75">
      <c r="B66" s="1"/>
      <c r="C66" s="25"/>
      <c r="D66" s="25"/>
      <c r="E66" s="25"/>
      <c r="F66" s="25"/>
      <c r="G66" s="25"/>
      <c r="H66" s="25"/>
      <c r="I66" s="25"/>
    </row>
    <row r="67" spans="2:9" ht="15.75">
      <c r="B67" s="11" t="s">
        <v>55</v>
      </c>
      <c r="C67" s="27"/>
      <c r="D67" s="27"/>
      <c r="E67" s="27"/>
      <c r="F67" s="27"/>
      <c r="G67" s="27"/>
      <c r="H67" s="27"/>
      <c r="I67" s="28"/>
    </row>
    <row r="68" spans="2:9">
      <c r="B68" s="4" t="s">
        <v>56</v>
      </c>
      <c r="C68" s="62">
        <v>0</v>
      </c>
      <c r="D68" s="62">
        <v>400000</v>
      </c>
      <c r="E68" s="62">
        <v>400000</v>
      </c>
      <c r="F68" s="62">
        <v>400000</v>
      </c>
      <c r="G68" s="62">
        <v>400000</v>
      </c>
      <c r="H68" s="62">
        <v>400000</v>
      </c>
      <c r="I68" s="63">
        <f t="shared" ref="I68:I72" si="14">SUM(C68:H68)</f>
        <v>2000000</v>
      </c>
    </row>
    <row r="69" spans="2:9">
      <c r="B69" s="4" t="s">
        <v>57</v>
      </c>
      <c r="C69" s="62">
        <v>0</v>
      </c>
      <c r="D69" s="62">
        <v>200000</v>
      </c>
      <c r="E69" s="62">
        <v>160000</v>
      </c>
      <c r="F69" s="62">
        <v>120000</v>
      </c>
      <c r="G69" s="62">
        <v>80000</v>
      </c>
      <c r="H69" s="62">
        <v>40000</v>
      </c>
      <c r="I69" s="63">
        <f t="shared" si="14"/>
        <v>600000</v>
      </c>
    </row>
    <row r="70" spans="2:9">
      <c r="B70" s="4" t="s">
        <v>58</v>
      </c>
      <c r="C70" s="62">
        <v>0</v>
      </c>
      <c r="D70" s="62">
        <v>10000</v>
      </c>
      <c r="E70" s="62">
        <v>8000</v>
      </c>
      <c r="F70" s="62">
        <v>6000</v>
      </c>
      <c r="G70" s="62">
        <v>4000</v>
      </c>
      <c r="H70" s="62">
        <v>2000</v>
      </c>
      <c r="I70" s="63">
        <f t="shared" si="14"/>
        <v>30000</v>
      </c>
    </row>
    <row r="71" spans="2:9">
      <c r="B71" s="4" t="s">
        <v>59</v>
      </c>
      <c r="C71" s="62">
        <v>0</v>
      </c>
      <c r="D71" s="62">
        <v>60000</v>
      </c>
      <c r="E71" s="62">
        <v>60000</v>
      </c>
      <c r="F71" s="62">
        <v>60000</v>
      </c>
      <c r="G71" s="62">
        <v>60000</v>
      </c>
      <c r="H71" s="62">
        <v>60000</v>
      </c>
      <c r="I71" s="63">
        <f t="shared" si="14"/>
        <v>300000</v>
      </c>
    </row>
    <row r="72" spans="2:9">
      <c r="B72" s="4" t="s">
        <v>60</v>
      </c>
      <c r="C72" s="62">
        <v>0</v>
      </c>
      <c r="D72" s="62">
        <v>0</v>
      </c>
      <c r="E72" s="62">
        <v>0</v>
      </c>
      <c r="F72" s="62">
        <v>80000</v>
      </c>
      <c r="G72" s="62">
        <v>90000</v>
      </c>
      <c r="H72" s="62">
        <v>100000</v>
      </c>
      <c r="I72" s="63">
        <f t="shared" si="14"/>
        <v>270000</v>
      </c>
    </row>
    <row r="73" spans="2:9" ht="16.5" thickBot="1">
      <c r="B73" s="3" t="s">
        <v>61</v>
      </c>
      <c r="C73" s="64">
        <f t="shared" ref="C73:I73" si="15">SUM(C68:C72)</f>
        <v>0</v>
      </c>
      <c r="D73" s="64">
        <f t="shared" si="15"/>
        <v>670000</v>
      </c>
      <c r="E73" s="64">
        <f t="shared" si="15"/>
        <v>628000</v>
      </c>
      <c r="F73" s="64">
        <f t="shared" si="15"/>
        <v>666000</v>
      </c>
      <c r="G73" s="64">
        <f t="shared" si="15"/>
        <v>634000</v>
      </c>
      <c r="H73" s="64">
        <f t="shared" si="15"/>
        <v>602000</v>
      </c>
      <c r="I73" s="64">
        <f t="shared" si="15"/>
        <v>3200000</v>
      </c>
    </row>
    <row r="74" spans="2:9" ht="15.75">
      <c r="B74" s="1"/>
      <c r="C74" s="25"/>
      <c r="D74" s="25"/>
      <c r="E74" s="25"/>
      <c r="F74" s="25"/>
      <c r="G74" s="25"/>
      <c r="H74" s="25"/>
      <c r="I74" s="25"/>
    </row>
    <row r="75" spans="2:9" ht="16.5" thickBot="1">
      <c r="B75" s="3" t="s">
        <v>62</v>
      </c>
      <c r="C75" s="26">
        <f>+C56+C65+C73</f>
        <v>3800000</v>
      </c>
      <c r="D75" s="26">
        <f t="shared" ref="D75:H75" si="16">+D56+D65+D73</f>
        <v>138670000</v>
      </c>
      <c r="E75" s="26">
        <f t="shared" si="16"/>
        <v>149668000</v>
      </c>
      <c r="F75" s="26">
        <f t="shared" si="16"/>
        <v>195770300</v>
      </c>
      <c r="G75" s="26">
        <f t="shared" si="16"/>
        <v>186467994</v>
      </c>
      <c r="H75" s="26">
        <f t="shared" si="16"/>
        <v>194216524</v>
      </c>
      <c r="I75" s="26">
        <f>+I54+I61+I73</f>
        <v>759344300</v>
      </c>
    </row>
    <row r="76" spans="2:9" ht="15.75">
      <c r="B76" s="1"/>
      <c r="C76" s="25"/>
      <c r="D76" s="25"/>
      <c r="E76" s="25"/>
      <c r="F76" s="25"/>
      <c r="G76" s="25"/>
      <c r="H76" s="25"/>
      <c r="I76" s="25"/>
    </row>
    <row r="77" spans="2:9" ht="15.75">
      <c r="B77" s="8" t="s">
        <v>63</v>
      </c>
      <c r="C77" s="29"/>
      <c r="D77" s="29"/>
      <c r="E77" s="29"/>
      <c r="F77" s="29"/>
      <c r="G77" s="29"/>
      <c r="H77" s="29"/>
      <c r="I77" s="29"/>
    </row>
    <row r="78" spans="2:9" ht="15.75">
      <c r="B78" s="1"/>
      <c r="C78" s="25"/>
      <c r="D78" s="25"/>
      <c r="E78" s="25"/>
      <c r="F78" s="25"/>
      <c r="G78" s="25"/>
      <c r="H78" s="25"/>
      <c r="I78" s="25"/>
    </row>
    <row r="79" spans="2:9" ht="15.75">
      <c r="B79" s="11" t="s">
        <v>64</v>
      </c>
      <c r="C79" s="27"/>
      <c r="D79" s="27"/>
      <c r="E79" s="27"/>
      <c r="F79" s="27"/>
      <c r="G79" s="27"/>
      <c r="H79" s="27"/>
      <c r="I79" s="28"/>
    </row>
    <row r="80" spans="2:9">
      <c r="B80" s="4" t="s">
        <v>65</v>
      </c>
      <c r="C80" s="131">
        <f>12*2300000</f>
        <v>27600000</v>
      </c>
      <c r="D80" s="62">
        <v>20000000</v>
      </c>
      <c r="E80" s="62">
        <v>20900000</v>
      </c>
      <c r="F80" s="62">
        <v>21840500</v>
      </c>
      <c r="G80" s="62">
        <v>22823322</v>
      </c>
      <c r="H80" s="62">
        <v>23850371</v>
      </c>
      <c r="I80" s="63">
        <f t="shared" ref="I80:I85" si="17">SUM(C80:H80)</f>
        <v>137014193</v>
      </c>
    </row>
    <row r="81" spans="2:9">
      <c r="B81" s="4" t="s">
        <v>66</v>
      </c>
      <c r="C81" s="62">
        <v>0</v>
      </c>
      <c r="D81" s="62">
        <v>1000000</v>
      </c>
      <c r="E81" s="62">
        <v>1045000</v>
      </c>
      <c r="F81" s="62">
        <v>1092025</v>
      </c>
      <c r="G81" s="62">
        <v>1141166</v>
      </c>
      <c r="H81" s="62">
        <v>1192518</v>
      </c>
      <c r="I81" s="63">
        <f t="shared" si="17"/>
        <v>5470709</v>
      </c>
    </row>
    <row r="82" spans="2:9">
      <c r="B82" s="4" t="s">
        <v>67</v>
      </c>
      <c r="C82" s="62">
        <v>0</v>
      </c>
      <c r="D82" s="62">
        <v>2000000</v>
      </c>
      <c r="E82" s="62">
        <v>2090000</v>
      </c>
      <c r="F82" s="62">
        <v>2184050</v>
      </c>
      <c r="G82" s="62">
        <v>2282332</v>
      </c>
      <c r="H82" s="62">
        <v>2385037</v>
      </c>
      <c r="I82" s="63">
        <f t="shared" si="17"/>
        <v>10941419</v>
      </c>
    </row>
    <row r="83" spans="2:9">
      <c r="B83" s="4" t="s">
        <v>68</v>
      </c>
      <c r="C83" s="62">
        <v>0</v>
      </c>
      <c r="D83" s="62">
        <v>1000000</v>
      </c>
      <c r="E83" s="62">
        <v>1045000</v>
      </c>
      <c r="F83" s="62">
        <v>1092025</v>
      </c>
      <c r="G83" s="62">
        <v>1141166</v>
      </c>
      <c r="H83" s="62">
        <v>1192518</v>
      </c>
      <c r="I83" s="63">
        <f t="shared" si="17"/>
        <v>5470709</v>
      </c>
    </row>
    <row r="84" spans="2:9">
      <c r="B84" s="4" t="s">
        <v>69</v>
      </c>
      <c r="C84" s="62">
        <v>0</v>
      </c>
      <c r="D84" s="62">
        <v>600000</v>
      </c>
      <c r="E84" s="62">
        <v>627000</v>
      </c>
      <c r="F84" s="62">
        <v>655215</v>
      </c>
      <c r="G84" s="62">
        <v>684700</v>
      </c>
      <c r="H84" s="62">
        <v>715512</v>
      </c>
      <c r="I84" s="63">
        <f t="shared" si="17"/>
        <v>3282427</v>
      </c>
    </row>
    <row r="85" spans="2:9">
      <c r="B85" s="4" t="s">
        <v>70</v>
      </c>
      <c r="C85" s="62">
        <v>0</v>
      </c>
      <c r="D85" s="62">
        <v>400000</v>
      </c>
      <c r="E85" s="62">
        <v>418000</v>
      </c>
      <c r="F85" s="62">
        <v>436810</v>
      </c>
      <c r="G85" s="62">
        <v>456466</v>
      </c>
      <c r="H85" s="62">
        <v>477007</v>
      </c>
      <c r="I85" s="63">
        <f t="shared" si="17"/>
        <v>2188283</v>
      </c>
    </row>
    <row r="86" spans="2:9" ht="16.5" thickBot="1">
      <c r="B86" s="3" t="s">
        <v>71</v>
      </c>
      <c r="C86" s="64">
        <f>SUM(C80:C85)</f>
        <v>27600000</v>
      </c>
      <c r="D86" s="64">
        <f t="shared" ref="D86:H86" si="18">SUM(D80:D85)</f>
        <v>25000000</v>
      </c>
      <c r="E86" s="64">
        <f t="shared" si="18"/>
        <v>26125000</v>
      </c>
      <c r="F86" s="64">
        <f t="shared" si="18"/>
        <v>27300625</v>
      </c>
      <c r="G86" s="64">
        <f t="shared" si="18"/>
        <v>28529152</v>
      </c>
      <c r="H86" s="64">
        <f t="shared" si="18"/>
        <v>29812963</v>
      </c>
      <c r="I86" s="64">
        <f>SUM(I80:I85)</f>
        <v>164367740</v>
      </c>
    </row>
    <row r="87" spans="2:9" ht="15.75">
      <c r="B87" s="1"/>
      <c r="C87" s="25"/>
      <c r="D87" s="25"/>
      <c r="E87" s="25"/>
      <c r="F87" s="25"/>
      <c r="G87" s="25"/>
      <c r="H87" s="25"/>
      <c r="I87" s="25"/>
    </row>
    <row r="88" spans="2:9" ht="15.75">
      <c r="B88" s="11" t="s">
        <v>72</v>
      </c>
      <c r="C88" s="27"/>
      <c r="D88" s="27"/>
      <c r="E88" s="27"/>
      <c r="F88" s="27"/>
      <c r="G88" s="27"/>
      <c r="H88" s="27"/>
      <c r="I88" s="28"/>
    </row>
    <row r="89" spans="2:9">
      <c r="B89" s="4" t="s">
        <v>73</v>
      </c>
      <c r="C89" s="62">
        <v>0</v>
      </c>
      <c r="D89" s="62">
        <v>1000000</v>
      </c>
      <c r="E89" s="62">
        <v>1045000</v>
      </c>
      <c r="F89" s="62">
        <v>1092025</v>
      </c>
      <c r="G89" s="62">
        <v>1141166</v>
      </c>
      <c r="H89" s="62">
        <v>1192519</v>
      </c>
      <c r="I89" s="63">
        <f t="shared" ref="I89:I95" si="19">SUM(C89:H89)</f>
        <v>5470710</v>
      </c>
    </row>
    <row r="90" spans="2:9">
      <c r="B90" s="4" t="s">
        <v>74</v>
      </c>
      <c r="C90" s="62">
        <v>0</v>
      </c>
      <c r="D90" s="62">
        <v>1500000</v>
      </c>
      <c r="E90" s="62">
        <v>1567500</v>
      </c>
      <c r="F90" s="62">
        <v>1638038</v>
      </c>
      <c r="G90" s="62">
        <v>1711749</v>
      </c>
      <c r="H90" s="62">
        <v>1788778</v>
      </c>
      <c r="I90" s="63">
        <f t="shared" si="19"/>
        <v>8206065</v>
      </c>
    </row>
    <row r="91" spans="2:9">
      <c r="B91" s="4" t="s">
        <v>75</v>
      </c>
      <c r="C91" s="62">
        <v>0</v>
      </c>
      <c r="D91" s="62">
        <v>6250000</v>
      </c>
      <c r="E91" s="62">
        <v>6531250</v>
      </c>
      <c r="F91" s="62">
        <v>6825156</v>
      </c>
      <c r="G91" s="62">
        <v>7132288</v>
      </c>
      <c r="H91" s="62">
        <v>7453241</v>
      </c>
      <c r="I91" s="63">
        <f t="shared" si="19"/>
        <v>34191935</v>
      </c>
    </row>
    <row r="92" spans="2:9">
      <c r="B92" s="4" t="s">
        <v>76</v>
      </c>
      <c r="C92" s="62">
        <v>0</v>
      </c>
      <c r="D92" s="62">
        <v>8000000</v>
      </c>
      <c r="E92" s="62">
        <v>8360000</v>
      </c>
      <c r="F92" s="62">
        <v>8736200</v>
      </c>
      <c r="G92" s="62">
        <v>9129329</v>
      </c>
      <c r="H92" s="62">
        <v>9540149</v>
      </c>
      <c r="I92" s="63">
        <f t="shared" si="19"/>
        <v>43765678</v>
      </c>
    </row>
    <row r="93" spans="2:9">
      <c r="B93" s="4" t="s">
        <v>77</v>
      </c>
      <c r="C93" s="62">
        <v>0</v>
      </c>
      <c r="D93" s="62">
        <v>4165000</v>
      </c>
      <c r="E93" s="62">
        <v>4352425</v>
      </c>
      <c r="F93" s="62">
        <v>4548284</v>
      </c>
      <c r="G93" s="62">
        <v>4752957</v>
      </c>
      <c r="H93" s="62">
        <v>4966840</v>
      </c>
      <c r="I93" s="63">
        <f t="shared" si="19"/>
        <v>22785506</v>
      </c>
    </row>
    <row r="94" spans="2:9">
      <c r="B94" s="4" t="s">
        <v>78</v>
      </c>
      <c r="C94" s="62">
        <v>0</v>
      </c>
      <c r="D94" s="62">
        <v>2000000</v>
      </c>
      <c r="E94" s="62">
        <v>2090000</v>
      </c>
      <c r="F94" s="62">
        <v>2184050</v>
      </c>
      <c r="G94" s="62">
        <v>2282332</v>
      </c>
      <c r="H94" s="62">
        <v>2385037</v>
      </c>
      <c r="I94" s="63">
        <f t="shared" si="19"/>
        <v>10941419</v>
      </c>
    </row>
    <row r="95" spans="2:9">
      <c r="B95" s="4" t="s">
        <v>79</v>
      </c>
      <c r="C95" s="62">
        <v>0</v>
      </c>
      <c r="D95" s="62">
        <v>260000</v>
      </c>
      <c r="E95" s="62">
        <v>271700</v>
      </c>
      <c r="F95" s="62">
        <v>283926</v>
      </c>
      <c r="G95" s="62">
        <v>296703</v>
      </c>
      <c r="H95" s="62">
        <v>310055</v>
      </c>
      <c r="I95" s="63">
        <f t="shared" si="19"/>
        <v>1422384</v>
      </c>
    </row>
    <row r="96" spans="2:9" ht="16.5" thickBot="1">
      <c r="B96" s="3" t="s">
        <v>80</v>
      </c>
      <c r="C96" s="64">
        <f>SUM(C89:C95)</f>
        <v>0</v>
      </c>
      <c r="D96" s="64">
        <f t="shared" ref="D96:H96" si="20">SUM(D89:D95)</f>
        <v>23175000</v>
      </c>
      <c r="E96" s="64">
        <f t="shared" si="20"/>
        <v>24217875</v>
      </c>
      <c r="F96" s="64">
        <f t="shared" si="20"/>
        <v>25307679</v>
      </c>
      <c r="G96" s="64">
        <f t="shared" si="20"/>
        <v>26446524</v>
      </c>
      <c r="H96" s="64">
        <f t="shared" si="20"/>
        <v>27636619</v>
      </c>
      <c r="I96" s="64">
        <f>SUM(I89:I95)</f>
        <v>126783697</v>
      </c>
    </row>
    <row r="97" spans="2:9" ht="15.75">
      <c r="B97" s="1"/>
      <c r="C97" s="25"/>
      <c r="D97" s="25"/>
      <c r="E97" s="25"/>
      <c r="F97" s="25"/>
      <c r="G97" s="25"/>
      <c r="H97" s="25"/>
      <c r="I97" s="25"/>
    </row>
    <row r="98" spans="2:9" ht="15.75">
      <c r="B98" s="11" t="s">
        <v>81</v>
      </c>
      <c r="C98" s="27"/>
      <c r="D98" s="27"/>
      <c r="E98" s="27"/>
      <c r="F98" s="27"/>
      <c r="G98" s="27"/>
      <c r="H98" s="27"/>
      <c r="I98" s="28"/>
    </row>
    <row r="99" spans="2:9">
      <c r="B99" s="4" t="s">
        <v>82</v>
      </c>
      <c r="C99" s="62">
        <v>0</v>
      </c>
      <c r="D99" s="62">
        <v>0</v>
      </c>
      <c r="E99" s="62">
        <v>0</v>
      </c>
      <c r="F99" s="62">
        <v>4000000</v>
      </c>
      <c r="G99" s="62">
        <v>4180000</v>
      </c>
      <c r="H99" s="62">
        <v>4368100</v>
      </c>
      <c r="I99" s="63">
        <f t="shared" ref="I99:I111" si="21">SUM(C99:H99)</f>
        <v>12548100</v>
      </c>
    </row>
    <row r="100" spans="2:9">
      <c r="B100" s="4" t="s">
        <v>83</v>
      </c>
      <c r="C100" s="131">
        <f>12*300000</f>
        <v>3600000</v>
      </c>
      <c r="D100" s="62">
        <v>3000000</v>
      </c>
      <c r="E100" s="62">
        <v>3135000</v>
      </c>
      <c r="F100" s="62">
        <v>3276075</v>
      </c>
      <c r="G100" s="62">
        <v>3423498</v>
      </c>
      <c r="H100" s="62">
        <v>3577555</v>
      </c>
      <c r="I100" s="63">
        <f t="shared" si="21"/>
        <v>20012128</v>
      </c>
    </row>
    <row r="101" spans="2:9">
      <c r="B101" s="4" t="s">
        <v>84</v>
      </c>
      <c r="C101" s="62">
        <v>0</v>
      </c>
      <c r="D101" s="62">
        <v>800000</v>
      </c>
      <c r="E101" s="62">
        <v>836000</v>
      </c>
      <c r="F101" s="62">
        <v>873620</v>
      </c>
      <c r="G101" s="62">
        <v>912933</v>
      </c>
      <c r="H101" s="62">
        <v>954015</v>
      </c>
      <c r="I101" s="63">
        <f t="shared" si="21"/>
        <v>4376568</v>
      </c>
    </row>
    <row r="102" spans="2:9">
      <c r="B102" s="4" t="s">
        <v>85</v>
      </c>
      <c r="C102" s="62">
        <v>0</v>
      </c>
      <c r="D102" s="62">
        <v>900000</v>
      </c>
      <c r="E102" s="62">
        <v>940500</v>
      </c>
      <c r="F102" s="62">
        <v>982822</v>
      </c>
      <c r="G102" s="62">
        <v>1027049</v>
      </c>
      <c r="H102" s="62">
        <v>1073266</v>
      </c>
      <c r="I102" s="63">
        <f t="shared" si="21"/>
        <v>4923637</v>
      </c>
    </row>
    <row r="103" spans="2:9">
      <c r="B103" s="4" t="s">
        <v>86</v>
      </c>
      <c r="C103" s="62">
        <v>0</v>
      </c>
      <c r="D103" s="62">
        <v>800000</v>
      </c>
      <c r="E103" s="62">
        <v>836000</v>
      </c>
      <c r="F103" s="62">
        <v>1200000</v>
      </c>
      <c r="G103" s="62">
        <v>1254000</v>
      </c>
      <c r="H103" s="62">
        <v>1310430</v>
      </c>
      <c r="I103" s="63">
        <f t="shared" si="21"/>
        <v>5400430</v>
      </c>
    </row>
    <row r="104" spans="2:9">
      <c r="B104" s="4" t="s">
        <v>87</v>
      </c>
      <c r="C104" s="62">
        <v>0</v>
      </c>
      <c r="D104" s="62">
        <v>0</v>
      </c>
      <c r="E104" s="62">
        <v>0</v>
      </c>
      <c r="F104" s="62">
        <v>0</v>
      </c>
      <c r="G104" s="62">
        <v>0</v>
      </c>
      <c r="H104" s="62">
        <v>0</v>
      </c>
      <c r="I104" s="63">
        <f t="shared" si="21"/>
        <v>0</v>
      </c>
    </row>
    <row r="105" spans="2:9">
      <c r="B105" s="4" t="s">
        <v>88</v>
      </c>
      <c r="C105" s="62">
        <v>0</v>
      </c>
      <c r="D105" s="62">
        <v>2400000</v>
      </c>
      <c r="E105" s="62">
        <v>2508000</v>
      </c>
      <c r="F105" s="62">
        <v>2620860</v>
      </c>
      <c r="G105" s="62">
        <v>2738799</v>
      </c>
      <c r="H105" s="62">
        <v>2862045</v>
      </c>
      <c r="I105" s="63">
        <f t="shared" si="21"/>
        <v>13129704</v>
      </c>
    </row>
    <row r="106" spans="2:9">
      <c r="B106" s="4" t="s">
        <v>89</v>
      </c>
      <c r="C106" s="62">
        <v>0</v>
      </c>
      <c r="D106" s="62">
        <v>0</v>
      </c>
      <c r="E106" s="62">
        <v>0</v>
      </c>
      <c r="F106" s="62">
        <v>800000</v>
      </c>
      <c r="G106" s="62">
        <v>900000</v>
      </c>
      <c r="H106" s="62">
        <v>1000000</v>
      </c>
      <c r="I106" s="63">
        <f t="shared" si="21"/>
        <v>2700000</v>
      </c>
    </row>
    <row r="107" spans="2:9">
      <c r="B107" s="4" t="s">
        <v>90</v>
      </c>
      <c r="C107" s="62">
        <v>0</v>
      </c>
      <c r="D107" s="62">
        <v>4000000</v>
      </c>
      <c r="E107" s="62">
        <v>4180000</v>
      </c>
      <c r="F107" s="62">
        <v>4368100</v>
      </c>
      <c r="G107" s="62">
        <v>4564664</v>
      </c>
      <c r="H107" s="62">
        <v>4770074</v>
      </c>
      <c r="I107" s="63">
        <f t="shared" si="21"/>
        <v>21882838</v>
      </c>
    </row>
    <row r="108" spans="2:9">
      <c r="B108" s="4" t="s">
        <v>91</v>
      </c>
      <c r="C108" s="62">
        <v>0</v>
      </c>
      <c r="D108" s="62">
        <v>400000</v>
      </c>
      <c r="E108" s="62">
        <v>418000</v>
      </c>
      <c r="F108" s="62">
        <v>436810</v>
      </c>
      <c r="G108" s="62">
        <v>456466</v>
      </c>
      <c r="H108" s="62">
        <v>477007</v>
      </c>
      <c r="I108" s="63">
        <f t="shared" si="21"/>
        <v>2188283</v>
      </c>
    </row>
    <row r="109" spans="2:9">
      <c r="B109" s="4" t="s">
        <v>92</v>
      </c>
      <c r="C109" s="62">
        <v>0</v>
      </c>
      <c r="D109" s="62">
        <v>400000</v>
      </c>
      <c r="E109" s="62">
        <v>418000</v>
      </c>
      <c r="F109" s="62">
        <v>436810</v>
      </c>
      <c r="G109" s="62">
        <v>456466</v>
      </c>
      <c r="H109" s="62">
        <v>477007</v>
      </c>
      <c r="I109" s="63">
        <f t="shared" si="21"/>
        <v>2188283</v>
      </c>
    </row>
    <row r="110" spans="2:9">
      <c r="B110" s="4" t="s">
        <v>93</v>
      </c>
      <c r="C110" s="62">
        <v>0</v>
      </c>
      <c r="D110" s="62">
        <v>800000</v>
      </c>
      <c r="E110" s="62">
        <v>836000</v>
      </c>
      <c r="F110" s="62">
        <v>873620</v>
      </c>
      <c r="G110" s="62">
        <v>912933</v>
      </c>
      <c r="H110" s="62">
        <v>954015</v>
      </c>
      <c r="I110" s="63">
        <f t="shared" si="21"/>
        <v>4376568</v>
      </c>
    </row>
    <row r="111" spans="2:9">
      <c r="B111" s="4" t="s">
        <v>94</v>
      </c>
      <c r="C111" s="62">
        <v>0</v>
      </c>
      <c r="D111" s="62">
        <v>400000</v>
      </c>
      <c r="E111" s="62">
        <v>418000</v>
      </c>
      <c r="F111" s="62">
        <v>436810</v>
      </c>
      <c r="G111" s="62">
        <v>456466</v>
      </c>
      <c r="H111" s="62">
        <v>477007</v>
      </c>
      <c r="I111" s="63">
        <f t="shared" si="21"/>
        <v>2188283</v>
      </c>
    </row>
    <row r="112" spans="2:9" ht="16.5" thickBot="1">
      <c r="B112" s="3" t="s">
        <v>95</v>
      </c>
      <c r="C112" s="64">
        <f t="shared" ref="C112:I112" si="22">SUM(C99:C111)</f>
        <v>3600000</v>
      </c>
      <c r="D112" s="64">
        <f t="shared" si="22"/>
        <v>13900000</v>
      </c>
      <c r="E112" s="64">
        <f t="shared" si="22"/>
        <v>14525500</v>
      </c>
      <c r="F112" s="64">
        <f t="shared" si="22"/>
        <v>20305527</v>
      </c>
      <c r="G112" s="64">
        <f t="shared" si="22"/>
        <v>21283274</v>
      </c>
      <c r="H112" s="64">
        <f t="shared" si="22"/>
        <v>22300521</v>
      </c>
      <c r="I112" s="64">
        <f t="shared" si="22"/>
        <v>95914822</v>
      </c>
    </row>
    <row r="113" spans="2:9" ht="15.75">
      <c r="B113" s="1"/>
      <c r="C113" s="25"/>
      <c r="D113" s="25"/>
      <c r="E113" s="25"/>
      <c r="F113" s="25"/>
      <c r="G113" s="25"/>
      <c r="H113" s="25"/>
      <c r="I113" s="25"/>
    </row>
    <row r="114" spans="2:9" ht="16.5" thickBot="1">
      <c r="B114" s="10" t="s">
        <v>96</v>
      </c>
      <c r="C114" s="30">
        <f>+C86+C96+C112</f>
        <v>31200000</v>
      </c>
      <c r="D114" s="30">
        <f t="shared" ref="D114:H114" si="23">+D86+D96+D112</f>
        <v>62075000</v>
      </c>
      <c r="E114" s="30">
        <f t="shared" si="23"/>
        <v>64868375</v>
      </c>
      <c r="F114" s="30">
        <f t="shared" si="23"/>
        <v>72913831</v>
      </c>
      <c r="G114" s="30">
        <f t="shared" si="23"/>
        <v>76258950</v>
      </c>
      <c r="H114" s="30">
        <f t="shared" si="23"/>
        <v>79750103</v>
      </c>
      <c r="I114" s="30">
        <f>SUM(C114:H114)</f>
        <v>387066259</v>
      </c>
    </row>
    <row r="115" spans="2:9" ht="15.75">
      <c r="B115" s="1"/>
      <c r="C115" s="25"/>
      <c r="D115" s="25"/>
      <c r="E115" s="25"/>
      <c r="F115" s="25"/>
      <c r="G115" s="25"/>
      <c r="H115" s="25"/>
      <c r="I115" s="25"/>
    </row>
    <row r="116" spans="2:9" ht="16.5" thickBot="1">
      <c r="B116" s="3" t="s">
        <v>97</v>
      </c>
      <c r="C116" s="26">
        <f>+C75+C114</f>
        <v>35000000</v>
      </c>
      <c r="D116" s="26">
        <f t="shared" ref="D116:H116" si="24">+D75+D114</f>
        <v>200745000</v>
      </c>
      <c r="E116" s="26">
        <f t="shared" si="24"/>
        <v>214536375</v>
      </c>
      <c r="F116" s="26">
        <f t="shared" si="24"/>
        <v>268684131</v>
      </c>
      <c r="G116" s="26">
        <f t="shared" si="24"/>
        <v>262726944</v>
      </c>
      <c r="H116" s="26">
        <f t="shared" si="24"/>
        <v>273966627</v>
      </c>
      <c r="I116" s="26">
        <f>SUM(C116:H116)</f>
        <v>1255659077</v>
      </c>
    </row>
    <row r="117" spans="2:9">
      <c r="B117" s="5"/>
      <c r="C117" s="25"/>
      <c r="D117" s="25"/>
      <c r="E117" s="25"/>
      <c r="F117" s="25"/>
      <c r="G117" s="25"/>
      <c r="H117" s="25"/>
      <c r="I117" s="25"/>
    </row>
    <row r="118" spans="2:9">
      <c r="B118" s="14" t="s">
        <v>98</v>
      </c>
      <c r="C118" s="31">
        <f>+C23</f>
        <v>35000000</v>
      </c>
      <c r="D118" s="31">
        <f t="shared" ref="D118:H118" si="25">+D23</f>
        <v>300000000</v>
      </c>
      <c r="E118" s="31">
        <f t="shared" si="25"/>
        <v>313050000</v>
      </c>
      <c r="F118" s="31">
        <f t="shared" si="25"/>
        <v>367282250</v>
      </c>
      <c r="G118" s="31">
        <f t="shared" si="25"/>
        <v>342704951</v>
      </c>
      <c r="H118" s="31">
        <f t="shared" si="25"/>
        <v>357326674</v>
      </c>
    </row>
    <row r="119" spans="2:9">
      <c r="B119" s="14" t="s">
        <v>99</v>
      </c>
      <c r="C119" s="31">
        <f>+C116</f>
        <v>35000000</v>
      </c>
      <c r="D119" s="31">
        <f t="shared" ref="D119:H119" si="26">+D116</f>
        <v>200745000</v>
      </c>
      <c r="E119" s="31">
        <f t="shared" si="26"/>
        <v>214536375</v>
      </c>
      <c r="F119" s="31">
        <f t="shared" si="26"/>
        <v>268684131</v>
      </c>
      <c r="G119" s="31">
        <f t="shared" si="26"/>
        <v>262726944</v>
      </c>
      <c r="H119" s="31">
        <f t="shared" si="26"/>
        <v>273966627</v>
      </c>
    </row>
    <row r="120" spans="2:9">
      <c r="B120" s="15" t="s">
        <v>100</v>
      </c>
      <c r="C120" s="32">
        <f>+C118-C119</f>
        <v>0</v>
      </c>
      <c r="D120" s="32">
        <f>+D118-D119</f>
        <v>99255000</v>
      </c>
      <c r="E120" s="32">
        <f t="shared" ref="E120:G120" si="27">+E118-E119</f>
        <v>98513625</v>
      </c>
      <c r="F120" s="32">
        <f t="shared" si="27"/>
        <v>98598119</v>
      </c>
      <c r="G120" s="32">
        <f t="shared" si="27"/>
        <v>79978007</v>
      </c>
      <c r="H120" s="32">
        <f>+H118-H119</f>
        <v>83360047</v>
      </c>
    </row>
    <row r="121" spans="2:9">
      <c r="B121" s="16" t="s">
        <v>101</v>
      </c>
      <c r="C121" s="33">
        <f>-(C118)</f>
        <v>-35000000</v>
      </c>
      <c r="D121" s="33">
        <f>+D120</f>
        <v>99255000</v>
      </c>
      <c r="E121" s="33">
        <f>++D121+E120</f>
        <v>197768625</v>
      </c>
      <c r="F121" s="33">
        <f t="shared" ref="F121:H121" si="28">++E121+F120</f>
        <v>296366744</v>
      </c>
      <c r="G121" s="33">
        <f t="shared" si="28"/>
        <v>376344751</v>
      </c>
      <c r="H121" s="33">
        <f t="shared" si="28"/>
        <v>459704798</v>
      </c>
    </row>
    <row r="124" spans="2:9" ht="21.75" thickBot="1">
      <c r="B124" s="1"/>
      <c r="C124" s="2">
        <v>0</v>
      </c>
      <c r="D124" s="2">
        <v>1</v>
      </c>
      <c r="E124" s="2">
        <v>2</v>
      </c>
      <c r="F124" s="2">
        <v>3</v>
      </c>
      <c r="G124" s="2">
        <v>4</v>
      </c>
      <c r="H124" s="2">
        <v>5</v>
      </c>
    </row>
    <row r="125" spans="2:9" ht="17.25" thickTop="1" thickBot="1">
      <c r="B125" s="3" t="s">
        <v>101</v>
      </c>
      <c r="C125" s="26">
        <f>C121</f>
        <v>-35000000</v>
      </c>
      <c r="D125" s="26">
        <f>+D121</f>
        <v>99255000</v>
      </c>
      <c r="E125" s="26">
        <f t="shared" ref="E125:H125" si="29">+E121</f>
        <v>197768625</v>
      </c>
      <c r="F125" s="26">
        <f t="shared" si="29"/>
        <v>296366744</v>
      </c>
      <c r="G125" s="26">
        <f t="shared" si="29"/>
        <v>376344751</v>
      </c>
      <c r="H125" s="26">
        <f t="shared" si="29"/>
        <v>459704798</v>
      </c>
    </row>
    <row r="128" spans="2:9" ht="30" customHeight="1">
      <c r="B128" s="19" t="s">
        <v>102</v>
      </c>
      <c r="C128" s="68" t="s">
        <v>103</v>
      </c>
      <c r="D128" s="68"/>
      <c r="G128" s="19" t="s">
        <v>104</v>
      </c>
      <c r="H128" s="19">
        <v>0.15</v>
      </c>
    </row>
    <row r="129" spans="2:9" ht="15.75">
      <c r="B129" s="20" t="s">
        <v>105</v>
      </c>
      <c r="C129" s="21">
        <v>4.4999999999999998E-2</v>
      </c>
      <c r="D129" s="22">
        <f>1+(C129)</f>
        <v>1.0449999999999999</v>
      </c>
      <c r="G129" s="19" t="s">
        <v>106</v>
      </c>
      <c r="H129" s="23">
        <f>NPV(H128,D125:H125)</f>
        <v>874446997.48568428</v>
      </c>
    </row>
    <row r="130" spans="2:9" ht="15.75">
      <c r="B130" s="20" t="s">
        <v>107</v>
      </c>
      <c r="C130" s="21">
        <v>4.4999999999999998E-2</v>
      </c>
      <c r="D130" s="22">
        <f t="shared" ref="D130:D134" si="30">1+(C130)</f>
        <v>1.0449999999999999</v>
      </c>
      <c r="G130" s="19" t="s">
        <v>108</v>
      </c>
      <c r="H130" s="23">
        <f>+C125+H129</f>
        <v>839446997.48568428</v>
      </c>
    </row>
    <row r="131" spans="2:9" ht="15.75">
      <c r="B131" s="20" t="s">
        <v>109</v>
      </c>
      <c r="C131" s="21">
        <v>3.5000000000000003E-2</v>
      </c>
      <c r="D131" s="22">
        <f t="shared" si="30"/>
        <v>1.0349999999999999</v>
      </c>
      <c r="G131" s="19" t="s">
        <v>110</v>
      </c>
      <c r="H131" s="24">
        <f>IRR(C125:H125)</f>
        <v>3.6027366717797404</v>
      </c>
    </row>
    <row r="132" spans="2:9" ht="15.75">
      <c r="B132" s="20" t="s">
        <v>111</v>
      </c>
      <c r="C132" s="21">
        <v>3.5000000000000003E-2</v>
      </c>
      <c r="D132" s="22">
        <f t="shared" si="30"/>
        <v>1.0349999999999999</v>
      </c>
      <c r="G132" s="19" t="s">
        <v>112</v>
      </c>
      <c r="H132" s="34">
        <f>+H129/(C125*-1)</f>
        <v>24.984199928162408</v>
      </c>
    </row>
    <row r="133" spans="2:9">
      <c r="B133" s="20" t="s">
        <v>113</v>
      </c>
      <c r="C133" s="21">
        <v>0.04</v>
      </c>
      <c r="D133" s="22">
        <f t="shared" si="30"/>
        <v>1.04</v>
      </c>
    </row>
    <row r="134" spans="2:9">
      <c r="B134" s="20" t="s">
        <v>114</v>
      </c>
      <c r="C134" s="21">
        <v>0.05</v>
      </c>
      <c r="D134" s="22">
        <f t="shared" si="30"/>
        <v>1.05</v>
      </c>
    </row>
    <row r="135" spans="2:9">
      <c r="B135" s="4"/>
      <c r="C135" s="18"/>
      <c r="D135" s="17"/>
    </row>
    <row r="136" spans="2:9">
      <c r="B136" s="4"/>
      <c r="C136" s="18"/>
      <c r="D136" s="17"/>
    </row>
    <row r="137" spans="2:9">
      <c r="B137" s="36" t="s">
        <v>115</v>
      </c>
      <c r="C137" s="36"/>
      <c r="D137" s="36"/>
      <c r="E137" s="36"/>
      <c r="F137" s="36"/>
      <c r="G137" s="36"/>
      <c r="H137" s="36"/>
    </row>
    <row r="138" spans="2:9">
      <c r="B138" s="36" t="s">
        <v>116</v>
      </c>
      <c r="C138" s="36"/>
      <c r="D138" s="36"/>
      <c r="E138" s="36"/>
      <c r="F138" s="36"/>
      <c r="G138" s="36"/>
      <c r="H138" s="36"/>
    </row>
    <row r="139" spans="2:9">
      <c r="B139" s="36" t="s">
        <v>117</v>
      </c>
      <c r="C139" s="36"/>
      <c r="D139" s="36"/>
      <c r="E139" s="36"/>
      <c r="F139" s="36"/>
      <c r="G139" s="36"/>
      <c r="H139" s="36"/>
    </row>
    <row r="140" spans="2:9">
      <c r="B140" s="36"/>
      <c r="C140" s="36"/>
      <c r="D140" s="36"/>
      <c r="E140" s="36"/>
      <c r="F140" s="36"/>
      <c r="G140" s="36"/>
      <c r="H140" s="36"/>
    </row>
    <row r="141" spans="2:9">
      <c r="B141" s="36" t="s">
        <v>118</v>
      </c>
      <c r="C141" s="36"/>
      <c r="D141" s="36"/>
      <c r="E141" s="36"/>
      <c r="F141" s="37"/>
      <c r="G141" s="37"/>
      <c r="H141" s="37"/>
      <c r="I141" s="35"/>
    </row>
    <row r="142" spans="2:9">
      <c r="B142" s="36"/>
      <c r="C142" s="36"/>
      <c r="D142" s="36"/>
      <c r="E142" s="36"/>
      <c r="F142" s="36"/>
      <c r="G142" s="36"/>
      <c r="H142" s="36"/>
    </row>
    <row r="143" spans="2:9">
      <c r="B143" s="36" t="s">
        <v>119</v>
      </c>
      <c r="C143" s="36"/>
      <c r="D143" s="36"/>
      <c r="E143" s="36"/>
      <c r="F143" s="36"/>
      <c r="G143" s="36"/>
      <c r="H143" s="36"/>
    </row>
    <row r="144" spans="2:9">
      <c r="B144" s="36" t="s">
        <v>120</v>
      </c>
      <c r="C144" s="36"/>
      <c r="D144" s="36"/>
      <c r="E144" s="36"/>
      <c r="F144" s="36"/>
      <c r="G144" s="36"/>
      <c r="H144" s="36"/>
    </row>
    <row r="145" spans="2:8">
      <c r="B145" s="36" t="s">
        <v>121</v>
      </c>
      <c r="C145" s="36"/>
      <c r="D145" s="36"/>
      <c r="E145" s="36"/>
      <c r="F145" s="36"/>
      <c r="G145" s="36"/>
      <c r="H145" s="36"/>
    </row>
    <row r="146" spans="2:8">
      <c r="B146" s="36"/>
      <c r="C146" s="36"/>
      <c r="D146" s="36"/>
      <c r="E146" s="36"/>
      <c r="F146" s="36"/>
      <c r="G146" s="36"/>
      <c r="H146" s="36"/>
    </row>
    <row r="147" spans="2:8">
      <c r="B147" s="36" t="s">
        <v>122</v>
      </c>
      <c r="C147" s="36"/>
      <c r="D147" s="36"/>
      <c r="E147" s="36"/>
      <c r="F147" s="36"/>
      <c r="G147" s="36"/>
      <c r="H147" s="36"/>
    </row>
    <row r="148" spans="2:8">
      <c r="B148" s="36"/>
      <c r="C148" s="36"/>
      <c r="D148" s="36"/>
      <c r="E148" s="36"/>
      <c r="F148" s="36"/>
      <c r="G148" s="36"/>
      <c r="H148" s="36"/>
    </row>
    <row r="149" spans="2:8">
      <c r="B149" s="36"/>
      <c r="C149" s="36"/>
      <c r="D149" s="36"/>
      <c r="E149" s="36"/>
      <c r="F149" s="36"/>
      <c r="G149" s="36"/>
      <c r="H149" s="36"/>
    </row>
    <row r="150" spans="2:8">
      <c r="B150" s="69" t="s">
        <v>123</v>
      </c>
      <c r="C150" s="69"/>
      <c r="D150" s="69"/>
      <c r="E150" s="69"/>
      <c r="F150" s="69"/>
      <c r="G150" s="69"/>
      <c r="H150" s="69"/>
    </row>
    <row r="151" spans="2:8" ht="15" customHeight="1">
      <c r="B151" s="70" t="s">
        <v>124</v>
      </c>
      <c r="C151" s="70"/>
      <c r="D151" s="70"/>
      <c r="E151" s="70"/>
      <c r="F151" s="70"/>
      <c r="G151" s="70"/>
      <c r="H151" s="70"/>
    </row>
    <row r="152" spans="2:8" ht="167.25" customHeight="1">
      <c r="B152" s="70"/>
      <c r="C152" s="70"/>
      <c r="D152" s="70"/>
      <c r="E152" s="70"/>
      <c r="F152" s="70"/>
      <c r="G152" s="70"/>
      <c r="H152" s="70"/>
    </row>
    <row r="153" spans="2:8" ht="137.25" customHeight="1">
      <c r="B153" s="70"/>
      <c r="C153" s="70"/>
      <c r="D153" s="70"/>
      <c r="E153" s="70"/>
      <c r="F153" s="70"/>
      <c r="G153" s="70"/>
      <c r="H153" s="70"/>
    </row>
    <row r="154" spans="2:8" ht="106.5" customHeight="1">
      <c r="B154" s="66"/>
      <c r="C154" s="66"/>
      <c r="D154" s="66"/>
      <c r="E154" s="66"/>
      <c r="F154" s="66"/>
      <c r="G154" s="66"/>
      <c r="H154" s="66"/>
    </row>
    <row r="155" spans="2:8" ht="152.25" customHeight="1">
      <c r="B155" s="66"/>
      <c r="C155" s="66"/>
      <c r="D155" s="66"/>
      <c r="E155" s="66"/>
      <c r="F155" s="66"/>
      <c r="G155" s="66"/>
      <c r="H155" s="66"/>
    </row>
    <row r="156" spans="2:8">
      <c r="B156" s="65"/>
      <c r="C156" s="65"/>
      <c r="D156" s="65"/>
      <c r="E156" s="65"/>
      <c r="F156" s="65"/>
      <c r="G156" s="65"/>
      <c r="H156" s="65"/>
    </row>
    <row r="157" spans="2:8">
      <c r="B157" s="65"/>
      <c r="C157" s="65"/>
      <c r="D157" s="65"/>
      <c r="E157" s="65"/>
      <c r="F157" s="65"/>
      <c r="G157" s="65"/>
      <c r="H157" s="65"/>
    </row>
    <row r="158" spans="2:8">
      <c r="B158" s="65"/>
      <c r="C158" s="65"/>
      <c r="D158" s="65"/>
      <c r="E158" s="65"/>
      <c r="F158" s="65"/>
      <c r="G158" s="65"/>
      <c r="H158" s="65"/>
    </row>
    <row r="159" spans="2:8">
      <c r="B159" s="36"/>
      <c r="C159" s="36"/>
      <c r="D159" s="36"/>
      <c r="E159" s="36"/>
      <c r="F159" s="36"/>
      <c r="G159" s="36"/>
      <c r="H159" s="36"/>
    </row>
    <row r="160" spans="2:8">
      <c r="B160" s="36"/>
      <c r="C160" s="36"/>
      <c r="D160" s="36"/>
      <c r="E160" s="36"/>
      <c r="F160" s="36"/>
      <c r="G160" s="36"/>
      <c r="H160" s="36"/>
    </row>
    <row r="161" spans="2:8">
      <c r="B161" s="36"/>
      <c r="C161" s="36"/>
      <c r="D161" s="36"/>
      <c r="E161" s="36"/>
      <c r="F161" s="36"/>
      <c r="G161" s="36"/>
      <c r="H161" s="36"/>
    </row>
  </sheetData>
  <mergeCells count="4">
    <mergeCell ref="C2:H2"/>
    <mergeCell ref="C128:D128"/>
    <mergeCell ref="B150:H150"/>
    <mergeCell ref="B151:H153"/>
  </mergeCell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000-000019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J76</xm:sqref>
            </x14:sparkline>
          </x14:sparklines>
        </x14:sparklineGroup>
        <x14:sparklineGroup displayEmptyCellsAs="gap" xr2:uid="{00000000-0003-0000-0000-000018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J115</xm:sqref>
            </x14:sparkline>
          </x14:sparklines>
        </x14:sparklineGroup>
        <x14:sparklineGroup displayEmptyCellsAs="gap" xr2:uid="{00000000-0003-0000-0000-000017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J97</xm:sqref>
            </x14:sparkline>
          </x14:sparklines>
        </x14:sparklineGroup>
        <x14:sparklineGroup displayEmptyCellsAs="gap" xr2:uid="{00000000-0003-0000-0000-000016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J57</xm:sqref>
            </x14:sparkline>
          </x14:sparklines>
        </x14:sparklineGroup>
        <x14:sparklineGroup displayEmptyCellsAs="gap" xr2:uid="{00000000-0003-0000-0000-000015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J56</xm:sqref>
            </x14:sparkline>
            <x14:sparkline>
              <xm:sqref>J66</xm:sqref>
            </x14:sparkline>
          </x14:sparklines>
        </x14:sparklineGroup>
        <x14:sparklineGroup displayEmptyCellsAs="gap" xr2:uid="{00000000-0003-0000-0000-000014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J55</xm:sqref>
            </x14:sparkline>
          </x14:sparklines>
        </x14:sparklineGroup>
        <x14:sparklineGroup displayEmptyCellsAs="gap" xr2:uid="{00000000-0003-0000-0000-000013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J43</xm:sqref>
            </x14:sparkline>
          </x14:sparklines>
        </x14:sparklineGroup>
        <x14:sparklineGroup displayEmptyCellsAs="gap" xr2:uid="{00000000-0003-0000-0000-000012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J78</xm:sqref>
            </x14:sparkline>
          </x14:sparklines>
        </x14:sparklineGroup>
        <x14:sparklineGroup displayEmptyCellsAs="gap" xr2:uid="{00000000-0003-0000-0000-000011000000}">
          <x14:colorSeries rgb="FF00B050"/>
          <x14:colorNegative rgb="FFFF0000"/>
          <x14:colorAxis rgb="FF000000"/>
          <x14:colorMarkers rgb="FF0070C0"/>
          <x14:colorFirst rgb="FFFFC000"/>
          <x14:colorLast rgb="FFFFC000"/>
          <x14:colorHigh rgb="FF00B050"/>
          <x14:colorLow rgb="FFFF0000"/>
          <x14:sparklines>
            <x14:sparkline>
              <xm:sqref>J13</xm:sqref>
            </x14:sparkline>
          </x14:sparklines>
        </x14:sparklineGroup>
        <x14:sparklineGroup displayEmptyCellsAs="gap" xr2:uid="{00000000-0003-0000-0000-000010000000}">
          <x14:colorSeries rgb="FF00B050"/>
          <x14:colorNegative rgb="FFFF0000"/>
          <x14:colorAxis rgb="FF000000"/>
          <x14:colorMarkers rgb="FF0070C0"/>
          <x14:colorFirst rgb="FFFFC000"/>
          <x14:colorLast rgb="FFFFC000"/>
          <x14:colorHigh rgb="FF00B050"/>
          <x14:colorLow rgb="FFFF0000"/>
          <x14:sparklines>
            <x14:sparkline>
              <xm:sqref>J14</xm:sqref>
            </x14:sparkline>
          </x14:sparklines>
        </x14:sparklineGroup>
        <x14:sparklineGroup displayEmptyCellsAs="gap" xr2:uid="{00000000-0003-0000-0000-00000F000000}">
          <x14:colorSeries rgb="FF00B050"/>
          <x14:colorNegative rgb="FFFF0000"/>
          <x14:colorAxis rgb="FF000000"/>
          <x14:colorMarkers rgb="FF0070C0"/>
          <x14:colorFirst rgb="FFFFC000"/>
          <x14:colorLast rgb="FFFFC000"/>
          <x14:colorHigh rgb="FF00B050"/>
          <x14:colorLow rgb="FFFF0000"/>
          <x14:sparklines>
            <x14:sparkline>
              <xm:sqref>J15</xm:sqref>
            </x14:sparkline>
          </x14:sparklines>
        </x14:sparklineGroup>
        <x14:sparklineGroup displayEmptyCellsAs="gap" xr2:uid="{00000000-0003-0000-0000-00000E000000}">
          <x14:colorSeries rgb="FF00B050"/>
          <x14:colorNegative rgb="FFFF0000"/>
          <x14:colorAxis rgb="FF000000"/>
          <x14:colorMarkers rgb="FF0070C0"/>
          <x14:colorFirst rgb="FFFFC000"/>
          <x14:colorLast rgb="FFFFC000"/>
          <x14:colorHigh rgb="FF00B050"/>
          <x14:colorLow rgb="FFFF0000"/>
          <x14:sparklines>
            <x14:sparkline>
              <xm:sqref>J16</xm:sqref>
            </x14:sparkline>
          </x14:sparklines>
        </x14:sparklineGroup>
        <x14:sparklineGroup displayEmptyCellsAs="gap" xr2:uid="{00000000-0003-0000-0000-00000D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J19</xm:sqref>
            </x14:sparkline>
          </x14:sparklines>
        </x14:sparklineGroup>
        <x14:sparklineGroup displayEmptyCellsAs="gap" xr2:uid="{00000000-0003-0000-0000-00000C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J20</xm:sqref>
            </x14:sparkline>
          </x14:sparklines>
        </x14:sparklineGroup>
        <x14:sparklineGroup displayEmptyCellsAs="gap" xr2:uid="{00000000-0003-0000-0000-00000B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J21</xm:sqref>
            </x14:sparkline>
          </x14:sparklines>
        </x14:sparklineGroup>
        <x14:sparklineGroup displayEmptyCellsAs="gap" xr2:uid="{00000000-0003-0000-0000-00000A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J22</xm:sqref>
            </x14:sparkline>
          </x14:sparklines>
        </x14:sparklineGroup>
        <x14:sparklineGroup displayEmptyCellsAs="gap" xr2:uid="{00000000-0003-0000-0000-000009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J23</xm:sqref>
            </x14:sparkline>
          </x14:sparklines>
        </x14:sparklineGroup>
        <x14:sparklineGroup displayEmptyCellsAs="gap" xr2:uid="{00000000-0003-0000-0000-000008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J24</xm:sqref>
            </x14:sparkline>
          </x14:sparklines>
        </x14:sparklineGroup>
        <x14:sparklineGroup displayEmptyCellsAs="gap" xr2:uid="{00000000-0003-0000-0000-000007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J37</xm:sqref>
            </x14:sparkline>
          </x14:sparklines>
        </x14:sparklineGroup>
        <x14:sparklineGroup displayEmptyCellsAs="gap" xr2:uid="{00000000-0003-0000-0000-000006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J26</xm:sqref>
            </x14:sparkline>
          </x14:sparklines>
        </x14:sparklineGroup>
        <x14:sparklineGroup displayEmptyCellsAs="gap" xr2:uid="{00000000-0003-0000-0000-000005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J74</xm:sqref>
            </x14:sparkline>
          </x14:sparklines>
        </x14:sparklineGroup>
        <x14:sparklineGroup displayEmptyCellsAs="gap" xr2:uid="{00000000-0003-0000-0000-000004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J75</xm:sqref>
            </x14:sparkline>
          </x14:sparklines>
        </x14:sparklineGroup>
        <x14:sparklineGroup displayEmptyCellsAs="gap" xr2:uid="{00000000-0003-0000-0000-000003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J87</xm:sqref>
            </x14:sparkline>
          </x14:sparklines>
        </x14:sparklineGroup>
        <x14:sparklineGroup displayEmptyCellsAs="gap" xr2:uid="{00000000-0003-0000-00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sqref>J114</xm:sqref>
            </x14:sparkline>
          </x14:sparklines>
        </x14:sparklineGroup>
        <x14:sparklineGroup displayEmptyCellsAs="gap" xr2:uid="{00000000-0003-0000-0000-000001000000}">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sqref>J113</xm:sqref>
            </x14:sparkline>
          </x14:sparklines>
        </x14:sparklineGroup>
        <x14:sparklineGroup displayEmptyCellsAs="gap" xr2:uid="{00000000-0003-0000-00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sqref>J116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F83C-35B2-4B63-AAA8-14CC2A1CD271}">
  <dimension ref="A1:G18"/>
  <sheetViews>
    <sheetView workbookViewId="0">
      <selection activeCell="G14" sqref="G14"/>
    </sheetView>
  </sheetViews>
  <sheetFormatPr defaultColWidth="11.42578125" defaultRowHeight="15"/>
  <cols>
    <col min="1" max="1" width="24.85546875" customWidth="1"/>
    <col min="2" max="2" width="15.42578125" customWidth="1"/>
    <col min="3" max="3" width="14.5703125" customWidth="1"/>
    <col min="4" max="4" width="15" customWidth="1"/>
    <col min="5" max="7" width="18" customWidth="1"/>
  </cols>
  <sheetData>
    <row r="1" spans="1:7">
      <c r="A1" t="s">
        <v>125</v>
      </c>
    </row>
    <row r="2" spans="1:7" ht="15.75" thickBot="1"/>
    <row r="3" spans="1:7" ht="30.75" thickBot="1">
      <c r="A3" s="38" t="s">
        <v>126</v>
      </c>
      <c r="B3" s="39" t="s">
        <v>127</v>
      </c>
      <c r="C3" s="39" t="s">
        <v>128</v>
      </c>
      <c r="D3" s="39" t="s">
        <v>129</v>
      </c>
      <c r="E3" s="40" t="s">
        <v>130</v>
      </c>
      <c r="F3" s="40" t="s">
        <v>131</v>
      </c>
      <c r="G3" s="40" t="s">
        <v>132</v>
      </c>
    </row>
    <row r="4" spans="1:7" ht="15.75" thickBot="1">
      <c r="A4" s="41" t="s">
        <v>133</v>
      </c>
      <c r="B4" s="42"/>
      <c r="C4" s="43"/>
      <c r="D4" s="43"/>
      <c r="E4" s="43"/>
      <c r="F4" s="43"/>
      <c r="G4" s="56">
        <f>+C4*F4</f>
        <v>0</v>
      </c>
    </row>
    <row r="5" spans="1:7" ht="15.75" thickBot="1">
      <c r="A5" s="44" t="s">
        <v>134</v>
      </c>
      <c r="B5" s="45"/>
      <c r="C5" s="46"/>
      <c r="D5" s="46"/>
      <c r="E5" s="46"/>
      <c r="F5" s="46"/>
      <c r="G5" s="57">
        <f t="shared" ref="G5:G9" si="0">+C5*F5</f>
        <v>0</v>
      </c>
    </row>
    <row r="6" spans="1:7" ht="15.75" thickBot="1">
      <c r="A6" s="41" t="s">
        <v>135</v>
      </c>
      <c r="B6" s="42"/>
      <c r="C6" s="43"/>
      <c r="D6" s="43"/>
      <c r="E6" s="43"/>
      <c r="F6" s="43"/>
      <c r="G6" s="56">
        <f t="shared" si="0"/>
        <v>0</v>
      </c>
    </row>
    <row r="7" spans="1:7" ht="15.75" thickBot="1">
      <c r="A7" s="44" t="s">
        <v>136</v>
      </c>
      <c r="B7" s="45"/>
      <c r="C7" s="46"/>
      <c r="D7" s="46"/>
      <c r="E7" s="46"/>
      <c r="F7" s="46"/>
      <c r="G7" s="57">
        <f t="shared" si="0"/>
        <v>0</v>
      </c>
    </row>
    <row r="8" spans="1:7" ht="15.75" thickBot="1">
      <c r="A8" s="41" t="s">
        <v>137</v>
      </c>
      <c r="B8" s="42"/>
      <c r="C8" s="43"/>
      <c r="D8" s="43"/>
      <c r="E8" s="43"/>
      <c r="F8" s="43"/>
      <c r="G8" s="56">
        <f t="shared" si="0"/>
        <v>0</v>
      </c>
    </row>
    <row r="9" spans="1:7" ht="15.75" thickBot="1">
      <c r="A9" s="44" t="s">
        <v>138</v>
      </c>
      <c r="B9" s="45"/>
      <c r="C9" s="46"/>
      <c r="D9" s="46"/>
      <c r="E9" s="46"/>
      <c r="F9" s="46"/>
      <c r="G9" s="57">
        <f t="shared" si="0"/>
        <v>0</v>
      </c>
    </row>
    <row r="11" spans="1:7">
      <c r="A11" t="s">
        <v>139</v>
      </c>
    </row>
    <row r="12" spans="1:7" ht="15.75" thickBot="1"/>
    <row r="13" spans="1:7" ht="30.75" thickBot="1">
      <c r="A13" s="47" t="s">
        <v>126</v>
      </c>
      <c r="B13" s="48" t="s">
        <v>140</v>
      </c>
      <c r="C13" s="48" t="s">
        <v>128</v>
      </c>
      <c r="D13" s="48" t="s">
        <v>141</v>
      </c>
      <c r="E13" s="49" t="s">
        <v>142</v>
      </c>
      <c r="F13" s="49" t="s">
        <v>131</v>
      </c>
      <c r="G13" s="49" t="s">
        <v>132</v>
      </c>
    </row>
    <row r="14" spans="1:7" ht="15.75" thickBot="1">
      <c r="A14" s="50" t="s">
        <v>143</v>
      </c>
      <c r="B14" s="51" t="s">
        <v>144</v>
      </c>
      <c r="C14" s="52"/>
      <c r="D14" s="52"/>
      <c r="E14" s="52"/>
      <c r="F14" s="52"/>
      <c r="G14" s="52">
        <f t="shared" ref="G14:G18" si="1">+C14*F14</f>
        <v>0</v>
      </c>
    </row>
    <row r="15" spans="1:7" ht="15.75" thickBot="1">
      <c r="A15" s="53" t="s">
        <v>145</v>
      </c>
      <c r="B15" s="54" t="s">
        <v>144</v>
      </c>
      <c r="C15" s="55"/>
      <c r="D15" s="55"/>
      <c r="E15" s="55"/>
      <c r="F15" s="55"/>
      <c r="G15" s="55">
        <f t="shared" si="1"/>
        <v>0</v>
      </c>
    </row>
    <row r="16" spans="1:7" ht="15.75" thickBot="1">
      <c r="A16" s="50" t="s">
        <v>146</v>
      </c>
      <c r="B16" s="51" t="s">
        <v>144</v>
      </c>
      <c r="C16" s="52"/>
      <c r="D16" s="52"/>
      <c r="E16" s="52"/>
      <c r="F16" s="52"/>
      <c r="G16" s="52">
        <f t="shared" si="1"/>
        <v>0</v>
      </c>
    </row>
    <row r="17" spans="1:7" ht="15.75" thickBot="1">
      <c r="A17" s="53" t="s">
        <v>147</v>
      </c>
      <c r="B17" s="54" t="s">
        <v>144</v>
      </c>
      <c r="C17" s="55"/>
      <c r="D17" s="55"/>
      <c r="E17" s="55"/>
      <c r="F17" s="55"/>
      <c r="G17" s="55">
        <f t="shared" si="1"/>
        <v>0</v>
      </c>
    </row>
    <row r="18" spans="1:7" ht="15.75" thickBot="1">
      <c r="A18" s="50" t="s">
        <v>148</v>
      </c>
      <c r="B18" s="51" t="s">
        <v>144</v>
      </c>
      <c r="C18" s="52"/>
      <c r="D18" s="52"/>
      <c r="E18" s="52"/>
      <c r="F18" s="52"/>
      <c r="G18" s="52">
        <f t="shared" si="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3BEA-BED4-4B9A-BD48-6AD02647345D}">
  <dimension ref="B2:T38"/>
  <sheetViews>
    <sheetView showGridLines="0" zoomScale="85" zoomScaleNormal="85" workbookViewId="0">
      <selection activeCell="T31" sqref="T31"/>
    </sheetView>
  </sheetViews>
  <sheetFormatPr defaultColWidth="9.140625" defaultRowHeight="15"/>
  <sheetData>
    <row r="2" spans="2:20" ht="15.75" thickBot="1"/>
    <row r="3" spans="2:20" ht="16.5" thickBot="1">
      <c r="C3" s="80" t="s">
        <v>149</v>
      </c>
      <c r="D3" s="81"/>
      <c r="E3" s="82"/>
      <c r="I3" s="83" t="s">
        <v>150</v>
      </c>
      <c r="J3" s="84"/>
      <c r="K3" s="84"/>
      <c r="L3" s="85"/>
      <c r="P3" s="86" t="s">
        <v>151</v>
      </c>
      <c r="Q3" s="87"/>
      <c r="R3" s="87"/>
      <c r="S3" s="88"/>
    </row>
    <row r="5" spans="2:20">
      <c r="B5" s="89" t="s">
        <v>152</v>
      </c>
      <c r="C5" s="90"/>
      <c r="D5" s="90"/>
      <c r="E5" s="90"/>
      <c r="F5" s="91"/>
      <c r="H5" s="98" t="s">
        <v>153</v>
      </c>
      <c r="I5" s="99"/>
      <c r="J5" s="99"/>
      <c r="K5" s="99"/>
      <c r="L5" s="99"/>
      <c r="M5" s="100"/>
      <c r="O5" s="107" t="s">
        <v>154</v>
      </c>
      <c r="P5" s="108"/>
      <c r="Q5" s="108"/>
      <c r="R5" s="108"/>
      <c r="S5" s="108"/>
      <c r="T5" s="109"/>
    </row>
    <row r="6" spans="2:20">
      <c r="B6" s="92"/>
      <c r="C6" s="93"/>
      <c r="D6" s="93"/>
      <c r="E6" s="93"/>
      <c r="F6" s="94"/>
      <c r="H6" s="101"/>
      <c r="I6" s="102"/>
      <c r="J6" s="102"/>
      <c r="K6" s="102"/>
      <c r="L6" s="102"/>
      <c r="M6" s="103"/>
      <c r="O6" s="110"/>
      <c r="P6" s="111"/>
      <c r="Q6" s="111"/>
      <c r="R6" s="111"/>
      <c r="S6" s="111"/>
      <c r="T6" s="112"/>
    </row>
    <row r="7" spans="2:20">
      <c r="B7" s="92"/>
      <c r="C7" s="93"/>
      <c r="D7" s="93"/>
      <c r="E7" s="93"/>
      <c r="F7" s="94"/>
      <c r="H7" s="101"/>
      <c r="I7" s="102"/>
      <c r="J7" s="102"/>
      <c r="K7" s="102"/>
      <c r="L7" s="102"/>
      <c r="M7" s="103"/>
      <c r="O7" s="110"/>
      <c r="P7" s="111"/>
      <c r="Q7" s="111"/>
      <c r="R7" s="111"/>
      <c r="S7" s="111"/>
      <c r="T7" s="112"/>
    </row>
    <row r="8" spans="2:20">
      <c r="B8" s="92"/>
      <c r="C8" s="93"/>
      <c r="D8" s="93"/>
      <c r="E8" s="93"/>
      <c r="F8" s="94"/>
      <c r="H8" s="101"/>
      <c r="I8" s="102"/>
      <c r="J8" s="102"/>
      <c r="K8" s="102"/>
      <c r="L8" s="102"/>
      <c r="M8" s="103"/>
      <c r="O8" s="110"/>
      <c r="P8" s="111"/>
      <c r="Q8" s="111"/>
      <c r="R8" s="111"/>
      <c r="S8" s="111"/>
      <c r="T8" s="112"/>
    </row>
    <row r="9" spans="2:20">
      <c r="B9" s="92"/>
      <c r="C9" s="93"/>
      <c r="D9" s="93"/>
      <c r="E9" s="93"/>
      <c r="F9" s="94"/>
      <c r="H9" s="101"/>
      <c r="I9" s="102"/>
      <c r="J9" s="102"/>
      <c r="K9" s="102"/>
      <c r="L9" s="102"/>
      <c r="M9" s="103"/>
      <c r="O9" s="110"/>
      <c r="P9" s="111"/>
      <c r="Q9" s="111"/>
      <c r="R9" s="111"/>
      <c r="S9" s="111"/>
      <c r="T9" s="112"/>
    </row>
    <row r="10" spans="2:20">
      <c r="B10" s="92"/>
      <c r="C10" s="93"/>
      <c r="D10" s="93"/>
      <c r="E10" s="93"/>
      <c r="F10" s="94"/>
      <c r="H10" s="101"/>
      <c r="I10" s="102"/>
      <c r="J10" s="102"/>
      <c r="K10" s="102"/>
      <c r="L10" s="102"/>
      <c r="M10" s="103"/>
      <c r="O10" s="110"/>
      <c r="P10" s="111"/>
      <c r="Q10" s="111"/>
      <c r="R10" s="111"/>
      <c r="S10" s="111"/>
      <c r="T10" s="112"/>
    </row>
    <row r="11" spans="2:20">
      <c r="B11" s="92"/>
      <c r="C11" s="93"/>
      <c r="D11" s="93"/>
      <c r="E11" s="93"/>
      <c r="F11" s="94"/>
      <c r="H11" s="101"/>
      <c r="I11" s="102"/>
      <c r="J11" s="102"/>
      <c r="K11" s="102"/>
      <c r="L11" s="102"/>
      <c r="M11" s="103"/>
      <c r="O11" s="110"/>
      <c r="P11" s="111"/>
      <c r="Q11" s="111"/>
      <c r="R11" s="111"/>
      <c r="S11" s="111"/>
      <c r="T11" s="112"/>
    </row>
    <row r="12" spans="2:20" ht="15.75" thickBot="1">
      <c r="B12" s="95"/>
      <c r="C12" s="96"/>
      <c r="D12" s="96"/>
      <c r="E12" s="96"/>
      <c r="F12" s="97"/>
      <c r="H12" s="104"/>
      <c r="I12" s="105"/>
      <c r="J12" s="105"/>
      <c r="K12" s="105"/>
      <c r="L12" s="105"/>
      <c r="M12" s="106"/>
      <c r="O12" s="113"/>
      <c r="P12" s="114"/>
      <c r="Q12" s="114"/>
      <c r="R12" s="114"/>
      <c r="S12" s="114"/>
      <c r="T12" s="115"/>
    </row>
    <row r="15" spans="2:20" ht="16.5" thickBot="1">
      <c r="E15" s="116" t="s">
        <v>155</v>
      </c>
      <c r="F15" s="117"/>
      <c r="G15" s="117"/>
      <c r="H15" s="117"/>
      <c r="I15" s="118"/>
      <c r="M15" s="119" t="s">
        <v>156</v>
      </c>
      <c r="N15" s="120"/>
      <c r="O15" s="120"/>
      <c r="P15" s="120"/>
      <c r="Q15" s="120"/>
      <c r="R15" s="121"/>
    </row>
    <row r="17" spans="4:20">
      <c r="D17" s="122" t="s">
        <v>157</v>
      </c>
      <c r="E17" s="123"/>
      <c r="F17" s="123"/>
      <c r="G17" s="123"/>
      <c r="H17" s="123"/>
      <c r="I17" s="123"/>
      <c r="J17" s="124"/>
      <c r="L17" s="98" t="s">
        <v>158</v>
      </c>
      <c r="M17" s="99"/>
      <c r="N17" s="99"/>
      <c r="O17" s="99"/>
      <c r="P17" s="99"/>
      <c r="Q17" s="99"/>
      <c r="R17" s="99"/>
      <c r="S17" s="99"/>
      <c r="T17" s="100"/>
    </row>
    <row r="18" spans="4:20">
      <c r="D18" s="125"/>
      <c r="E18" s="126"/>
      <c r="F18" s="126"/>
      <c r="G18" s="126"/>
      <c r="H18" s="126"/>
      <c r="I18" s="126"/>
      <c r="J18" s="127"/>
      <c r="L18" s="101"/>
      <c r="M18" s="102"/>
      <c r="N18" s="102"/>
      <c r="O18" s="102"/>
      <c r="P18" s="102"/>
      <c r="Q18" s="102"/>
      <c r="R18" s="102"/>
      <c r="S18" s="102"/>
      <c r="T18" s="103"/>
    </row>
    <row r="19" spans="4:20">
      <c r="D19" s="125"/>
      <c r="E19" s="126"/>
      <c r="F19" s="126"/>
      <c r="G19" s="126"/>
      <c r="H19" s="126"/>
      <c r="I19" s="126"/>
      <c r="J19" s="127"/>
      <c r="L19" s="101"/>
      <c r="M19" s="102"/>
      <c r="N19" s="102"/>
      <c r="O19" s="102"/>
      <c r="P19" s="102"/>
      <c r="Q19" s="102"/>
      <c r="R19" s="102"/>
      <c r="S19" s="102"/>
      <c r="T19" s="103"/>
    </row>
    <row r="20" spans="4:20">
      <c r="D20" s="125"/>
      <c r="E20" s="126"/>
      <c r="F20" s="126"/>
      <c r="G20" s="126"/>
      <c r="H20" s="126"/>
      <c r="I20" s="126"/>
      <c r="J20" s="127"/>
      <c r="L20" s="101"/>
      <c r="M20" s="102"/>
      <c r="N20" s="102"/>
      <c r="O20" s="102"/>
      <c r="P20" s="102"/>
      <c r="Q20" s="102"/>
      <c r="R20" s="102"/>
      <c r="S20" s="102"/>
      <c r="T20" s="103"/>
    </row>
    <row r="21" spans="4:20">
      <c r="D21" s="125"/>
      <c r="E21" s="126"/>
      <c r="F21" s="126"/>
      <c r="G21" s="126"/>
      <c r="H21" s="126"/>
      <c r="I21" s="126"/>
      <c r="J21" s="127"/>
      <c r="L21" s="101"/>
      <c r="M21" s="102"/>
      <c r="N21" s="102"/>
      <c r="O21" s="102"/>
      <c r="P21" s="102"/>
      <c r="Q21" s="102"/>
      <c r="R21" s="102"/>
      <c r="S21" s="102"/>
      <c r="T21" s="103"/>
    </row>
    <row r="22" spans="4:20">
      <c r="D22" s="125"/>
      <c r="E22" s="126"/>
      <c r="F22" s="126"/>
      <c r="G22" s="126"/>
      <c r="H22" s="126"/>
      <c r="I22" s="126"/>
      <c r="J22" s="127"/>
      <c r="L22" s="101"/>
      <c r="M22" s="102"/>
      <c r="N22" s="102"/>
      <c r="O22" s="102"/>
      <c r="P22" s="102"/>
      <c r="Q22" s="102"/>
      <c r="R22" s="102"/>
      <c r="S22" s="102"/>
      <c r="T22" s="103"/>
    </row>
    <row r="23" spans="4:20">
      <c r="D23" s="125"/>
      <c r="E23" s="126"/>
      <c r="F23" s="126"/>
      <c r="G23" s="126"/>
      <c r="H23" s="126"/>
      <c r="I23" s="126"/>
      <c r="J23" s="127"/>
      <c r="L23" s="101"/>
      <c r="M23" s="102"/>
      <c r="N23" s="102"/>
      <c r="O23" s="102"/>
      <c r="P23" s="102"/>
      <c r="Q23" s="102"/>
      <c r="R23" s="102"/>
      <c r="S23" s="102"/>
      <c r="T23" s="103"/>
    </row>
    <row r="24" spans="4:20">
      <c r="D24" s="125"/>
      <c r="E24" s="126"/>
      <c r="F24" s="126"/>
      <c r="G24" s="126"/>
      <c r="H24" s="126"/>
      <c r="I24" s="126"/>
      <c r="J24" s="127"/>
      <c r="L24" s="101"/>
      <c r="M24" s="102"/>
      <c r="N24" s="102"/>
      <c r="O24" s="102"/>
      <c r="P24" s="102"/>
      <c r="Q24" s="102"/>
      <c r="R24" s="102"/>
      <c r="S24" s="102"/>
      <c r="T24" s="103"/>
    </row>
    <row r="25" spans="4:20">
      <c r="D25" s="125"/>
      <c r="E25" s="126"/>
      <c r="F25" s="126"/>
      <c r="G25" s="126"/>
      <c r="H25" s="126"/>
      <c r="I25" s="126"/>
      <c r="J25" s="127"/>
      <c r="L25" s="101"/>
      <c r="M25" s="102"/>
      <c r="N25" s="102"/>
      <c r="O25" s="102"/>
      <c r="P25" s="102"/>
      <c r="Q25" s="102"/>
      <c r="R25" s="102"/>
      <c r="S25" s="102"/>
      <c r="T25" s="103"/>
    </row>
    <row r="26" spans="4:20" ht="15.75" thickBot="1">
      <c r="D26" s="128"/>
      <c r="E26" s="129"/>
      <c r="F26" s="129"/>
      <c r="G26" s="129"/>
      <c r="H26" s="129"/>
      <c r="I26" s="129"/>
      <c r="J26" s="130"/>
      <c r="L26" s="104"/>
      <c r="M26" s="105"/>
      <c r="N26" s="105"/>
      <c r="O26" s="105"/>
      <c r="P26" s="105"/>
      <c r="Q26" s="105"/>
      <c r="R26" s="105"/>
      <c r="S26" s="105"/>
      <c r="T26" s="106"/>
    </row>
    <row r="29" spans="4:20" ht="16.5" thickBot="1">
      <c r="I29" s="80" t="s">
        <v>159</v>
      </c>
      <c r="J29" s="81"/>
      <c r="K29" s="81"/>
      <c r="L29" s="82"/>
    </row>
    <row r="31" spans="4:20">
      <c r="F31" s="71" t="s">
        <v>160</v>
      </c>
      <c r="G31" s="72"/>
      <c r="H31" s="72"/>
      <c r="I31" s="72"/>
      <c r="J31" s="72"/>
      <c r="K31" s="72"/>
      <c r="L31" s="72"/>
      <c r="M31" s="72"/>
      <c r="N31" s="72"/>
      <c r="O31" s="73"/>
    </row>
    <row r="32" spans="4:20">
      <c r="F32" s="74"/>
      <c r="G32" s="75"/>
      <c r="H32" s="75"/>
      <c r="I32" s="75"/>
      <c r="J32" s="75"/>
      <c r="K32" s="75"/>
      <c r="L32" s="75"/>
      <c r="M32" s="75"/>
      <c r="N32" s="75"/>
      <c r="O32" s="76"/>
    </row>
    <row r="33" spans="6:15">
      <c r="F33" s="74"/>
      <c r="G33" s="75"/>
      <c r="H33" s="75"/>
      <c r="I33" s="75"/>
      <c r="J33" s="75"/>
      <c r="K33" s="75"/>
      <c r="L33" s="75"/>
      <c r="M33" s="75"/>
      <c r="N33" s="75"/>
      <c r="O33" s="76"/>
    </row>
    <row r="34" spans="6:15">
      <c r="F34" s="74"/>
      <c r="G34" s="75"/>
      <c r="H34" s="75"/>
      <c r="I34" s="75"/>
      <c r="J34" s="75"/>
      <c r="K34" s="75"/>
      <c r="L34" s="75"/>
      <c r="M34" s="75"/>
      <c r="N34" s="75"/>
      <c r="O34" s="76"/>
    </row>
    <row r="35" spans="6:15">
      <c r="F35" s="74"/>
      <c r="G35" s="75"/>
      <c r="H35" s="75"/>
      <c r="I35" s="75"/>
      <c r="J35" s="75"/>
      <c r="K35" s="75"/>
      <c r="L35" s="75"/>
      <c r="M35" s="75"/>
      <c r="N35" s="75"/>
      <c r="O35" s="76"/>
    </row>
    <row r="36" spans="6:15">
      <c r="F36" s="74"/>
      <c r="G36" s="75"/>
      <c r="H36" s="75"/>
      <c r="I36" s="75"/>
      <c r="J36" s="75"/>
      <c r="K36" s="75"/>
      <c r="L36" s="75"/>
      <c r="M36" s="75"/>
      <c r="N36" s="75"/>
      <c r="O36" s="76"/>
    </row>
    <row r="37" spans="6:15">
      <c r="F37" s="74"/>
      <c r="G37" s="75"/>
      <c r="H37" s="75"/>
      <c r="I37" s="75"/>
      <c r="J37" s="75"/>
      <c r="K37" s="75"/>
      <c r="L37" s="75"/>
      <c r="M37" s="75"/>
      <c r="N37" s="75"/>
      <c r="O37" s="76"/>
    </row>
    <row r="38" spans="6:15" ht="15.75" thickBot="1">
      <c r="F38" s="77"/>
      <c r="G38" s="78"/>
      <c r="H38" s="78"/>
      <c r="I38" s="78"/>
      <c r="J38" s="78"/>
      <c r="K38" s="78"/>
      <c r="L38" s="78"/>
      <c r="M38" s="78"/>
      <c r="N38" s="78"/>
      <c r="O38" s="79"/>
    </row>
  </sheetData>
  <mergeCells count="12">
    <mergeCell ref="F31:O38"/>
    <mergeCell ref="C3:E3"/>
    <mergeCell ref="I3:L3"/>
    <mergeCell ref="P3:S3"/>
    <mergeCell ref="B5:F12"/>
    <mergeCell ref="H5:M12"/>
    <mergeCell ref="O5:T12"/>
    <mergeCell ref="E15:I15"/>
    <mergeCell ref="M15:R15"/>
    <mergeCell ref="D17:J26"/>
    <mergeCell ref="L17:T26"/>
    <mergeCell ref="I29:L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2025-11-24T21:29:10Z</dcterms:modified>
  <cp:category/>
  <cp:contentStatus/>
</cp:coreProperties>
</file>